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4253\Desktop\Stellar Class\"/>
    </mc:Choice>
  </mc:AlternateContent>
  <xr:revisionPtr revIDLastSave="0" documentId="8_{D50D13DF-3A11-431F-8A25-9BC292727682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BLOOMBERG RATE" sheetId="1" r:id="rId1"/>
    <sheet name="REVERSE REPO" sheetId="4" r:id="rId2"/>
    <sheet name="Sheet4" sheetId="9" r:id="rId3"/>
    <sheet name="Holiday" sheetId="7" r:id="rId4"/>
    <sheet name="INTERPOLATED RATE" sheetId="2" r:id="rId5"/>
    <sheet name="INTERPOLATED RATE(2)" sheetId="5" r:id="rId6"/>
    <sheet name="SUMMARY" sheetId="3" r:id="rId7"/>
    <sheet name="Trading Book" sheetId="6" r:id="rId8"/>
    <sheet name="Funding Cost" sheetId="8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" i="4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1" i="9"/>
  <c r="V5" i="4"/>
  <c r="W3" i="4"/>
  <c r="W4" i="4"/>
  <c r="W5" i="4"/>
  <c r="W6" i="4"/>
  <c r="W7" i="4"/>
  <c r="W8" i="4"/>
  <c r="W9" i="4"/>
  <c r="V3" i="4"/>
  <c r="V4" i="4"/>
  <c r="V6" i="4"/>
  <c r="V7" i="4"/>
  <c r="V8" i="4"/>
  <c r="V9" i="4"/>
  <c r="Y8" i="4"/>
  <c r="G2" i="8"/>
  <c r="F2" i="8"/>
  <c r="E2" i="8"/>
  <c r="B2" i="8"/>
  <c r="A2" i="8"/>
  <c r="BL4" i="6"/>
  <c r="BL3" i="6"/>
  <c r="BL2" i="6"/>
  <c r="BK4" i="6"/>
  <c r="BJ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41" i="6"/>
  <c r="BJ42" i="6"/>
  <c r="BJ43" i="6"/>
  <c r="BJ44" i="6"/>
  <c r="BJ45" i="6"/>
  <c r="BJ46" i="6"/>
  <c r="BJ47" i="6"/>
  <c r="BJ48" i="6"/>
  <c r="BJ49" i="6"/>
  <c r="BJ50" i="6"/>
  <c r="BJ51" i="6"/>
  <c r="BJ52" i="6"/>
  <c r="BJ53" i="6"/>
  <c r="BJ54" i="6"/>
  <c r="BJ55" i="6"/>
  <c r="BJ56" i="6"/>
  <c r="BJ57" i="6"/>
  <c r="BJ58" i="6"/>
  <c r="BJ59" i="6"/>
  <c r="BJ60" i="6"/>
  <c r="BJ61" i="6"/>
  <c r="BJ62" i="6"/>
  <c r="BJ63" i="6"/>
  <c r="BJ64" i="6"/>
  <c r="BJ65" i="6"/>
  <c r="BJ66" i="6"/>
  <c r="BJ67" i="6"/>
  <c r="BJ68" i="6"/>
  <c r="BJ69" i="6"/>
  <c r="BJ70" i="6"/>
  <c r="BJ71" i="6"/>
  <c r="BJ72" i="6"/>
  <c r="BJ73" i="6"/>
  <c r="BJ74" i="6"/>
  <c r="BJ75" i="6"/>
  <c r="BJ76" i="6"/>
  <c r="BJ77" i="6"/>
  <c r="BJ78" i="6"/>
  <c r="BJ79" i="6"/>
  <c r="BJ80" i="6"/>
  <c r="BJ81" i="6"/>
  <c r="BJ82" i="6"/>
  <c r="BJ83" i="6"/>
  <c r="BJ84" i="6"/>
  <c r="BJ85" i="6"/>
  <c r="BJ86" i="6"/>
  <c r="BJ87" i="6"/>
  <c r="BJ88" i="6"/>
  <c r="BJ89" i="6"/>
  <c r="BJ90" i="6"/>
  <c r="BJ91" i="6"/>
  <c r="BJ92" i="6"/>
  <c r="BJ93" i="6"/>
  <c r="BJ94" i="6"/>
  <c r="BJ95" i="6"/>
  <c r="BJ96" i="6"/>
  <c r="BJ97" i="6"/>
  <c r="BJ98" i="6"/>
  <c r="BJ99" i="6"/>
  <c r="BJ100" i="6"/>
  <c r="BJ101" i="6"/>
  <c r="BJ102" i="6"/>
  <c r="BJ103" i="6"/>
  <c r="BJ104" i="6"/>
  <c r="BJ105" i="6"/>
  <c r="BJ106" i="6"/>
  <c r="BJ107" i="6"/>
  <c r="BJ108" i="6"/>
  <c r="BJ109" i="6"/>
  <c r="BJ110" i="6"/>
  <c r="BJ111" i="6"/>
  <c r="BJ112" i="6"/>
  <c r="BJ113" i="6"/>
  <c r="BJ114" i="6"/>
  <c r="BJ115" i="6"/>
  <c r="BJ116" i="6"/>
  <c r="BJ117" i="6"/>
  <c r="BJ118" i="6"/>
  <c r="BJ119" i="6"/>
  <c r="BJ120" i="6"/>
  <c r="BJ121" i="6"/>
  <c r="BJ122" i="6"/>
  <c r="BJ123" i="6"/>
  <c r="BJ124" i="6"/>
  <c r="BJ125" i="6"/>
  <c r="BJ126" i="6"/>
  <c r="BJ127" i="6"/>
  <c r="BJ128" i="6"/>
  <c r="BJ129" i="6"/>
  <c r="BJ130" i="6"/>
  <c r="BJ131" i="6"/>
  <c r="BJ132" i="6"/>
  <c r="BJ133" i="6"/>
  <c r="BJ134" i="6"/>
  <c r="BJ135" i="6"/>
  <c r="BJ136" i="6"/>
  <c r="BJ137" i="6"/>
  <c r="BJ138" i="6"/>
  <c r="BJ139" i="6"/>
  <c r="BJ140" i="6"/>
  <c r="BJ141" i="6"/>
  <c r="BJ142" i="6"/>
  <c r="BJ143" i="6"/>
  <c r="BJ144" i="6"/>
  <c r="BJ145" i="6"/>
  <c r="BJ146" i="6"/>
  <c r="BJ147" i="6"/>
  <c r="BJ148" i="6"/>
  <c r="BJ149" i="6"/>
  <c r="BJ150" i="6"/>
  <c r="BJ151" i="6"/>
  <c r="BJ152" i="6"/>
  <c r="BJ153" i="6"/>
  <c r="BJ154" i="6"/>
  <c r="BJ155" i="6"/>
  <c r="BJ156" i="6"/>
  <c r="BJ157" i="6"/>
  <c r="BJ158" i="6"/>
  <c r="BJ159" i="6"/>
  <c r="BJ160" i="6"/>
  <c r="BJ161" i="6"/>
  <c r="BJ162" i="6"/>
  <c r="BJ163" i="6"/>
  <c r="BJ164" i="6"/>
  <c r="BJ165" i="6"/>
  <c r="BJ166" i="6"/>
  <c r="BJ167" i="6"/>
  <c r="BJ168" i="6"/>
  <c r="BJ169" i="6"/>
  <c r="BJ170" i="6"/>
  <c r="BJ171" i="6"/>
  <c r="BJ172" i="6"/>
  <c r="BJ173" i="6"/>
  <c r="BJ174" i="6"/>
  <c r="BJ175" i="6"/>
  <c r="BJ176" i="6"/>
  <c r="BJ177" i="6"/>
  <c r="BJ178" i="6"/>
  <c r="BJ179" i="6"/>
  <c r="BJ180" i="6"/>
  <c r="BJ181" i="6"/>
  <c r="BJ182" i="6"/>
  <c r="BJ183" i="6"/>
  <c r="BJ184" i="6"/>
  <c r="BJ185" i="6"/>
  <c r="BJ186" i="6"/>
  <c r="BJ187" i="6"/>
  <c r="BJ188" i="6"/>
  <c r="BJ189" i="6"/>
  <c r="BJ190" i="6"/>
  <c r="BJ191" i="6"/>
  <c r="BJ192" i="6"/>
  <c r="BJ193" i="6"/>
  <c r="BJ194" i="6"/>
  <c r="BJ195" i="6"/>
  <c r="BJ196" i="6"/>
  <c r="BJ197" i="6"/>
  <c r="BJ198" i="6"/>
  <c r="BJ199" i="6"/>
  <c r="BJ200" i="6"/>
  <c r="BJ201" i="6"/>
  <c r="BJ202" i="6"/>
  <c r="BJ203" i="6"/>
  <c r="BJ204" i="6"/>
  <c r="BJ205" i="6"/>
  <c r="BJ206" i="6"/>
  <c r="BJ207" i="6"/>
  <c r="BJ208" i="6"/>
  <c r="BJ209" i="6"/>
  <c r="BJ210" i="6"/>
  <c r="BJ211" i="6"/>
  <c r="BJ212" i="6"/>
  <c r="BJ213" i="6"/>
  <c r="BJ214" i="6"/>
  <c r="BJ215" i="6"/>
  <c r="BJ216" i="6"/>
  <c r="BJ217" i="6"/>
  <c r="BJ218" i="6"/>
  <c r="BJ219" i="6"/>
  <c r="BJ220" i="6"/>
  <c r="BJ221" i="6"/>
  <c r="BJ222" i="6"/>
  <c r="BJ223" i="6"/>
  <c r="BJ224" i="6"/>
  <c r="BJ225" i="6"/>
  <c r="BJ226" i="6"/>
  <c r="BJ227" i="6"/>
  <c r="BJ228" i="6"/>
  <c r="BJ229" i="6"/>
  <c r="BJ230" i="6"/>
  <c r="BJ231" i="6"/>
  <c r="BJ232" i="6"/>
  <c r="BJ233" i="6"/>
  <c r="BJ234" i="6"/>
  <c r="BJ4" i="6"/>
  <c r="AC3" i="4"/>
  <c r="AC4" i="4"/>
  <c r="AD4" i="4" s="1"/>
  <c r="AC5" i="4"/>
  <c r="AC6" i="4"/>
  <c r="AD6" i="4" s="1"/>
  <c r="AC7" i="4"/>
  <c r="AD7" i="4" s="1"/>
  <c r="AC8" i="4"/>
  <c r="AD8" i="4" s="1"/>
  <c r="AC9" i="4"/>
  <c r="AD9" i="4" s="1"/>
  <c r="AD3" i="4"/>
  <c r="AD5" i="4"/>
  <c r="X3" i="4"/>
  <c r="Y3" i="4" s="1"/>
  <c r="X4" i="4"/>
  <c r="Y4" i="4" s="1"/>
  <c r="X5" i="4"/>
  <c r="Y5" i="4" s="1"/>
  <c r="X6" i="4"/>
  <c r="Y6" i="4" s="1"/>
  <c r="X7" i="4"/>
  <c r="Y7" i="4" s="1"/>
  <c r="X9" i="4"/>
  <c r="Y9" i="4" s="1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5" i="5"/>
  <c r="U6" i="5"/>
  <c r="U7" i="5"/>
  <c r="U8" i="5"/>
  <c r="U9" i="5"/>
  <c r="U10" i="5"/>
  <c r="U11" i="5"/>
  <c r="U12" i="5"/>
  <c r="U13" i="5"/>
  <c r="U14" i="5"/>
  <c r="U15" i="5"/>
  <c r="U16" i="5"/>
  <c r="U4" i="5"/>
  <c r="P118" i="5"/>
  <c r="P119" i="5" s="1"/>
  <c r="P120" i="5" s="1"/>
  <c r="P121" i="5" s="1"/>
  <c r="P122" i="5" s="1"/>
  <c r="P123" i="5" s="1"/>
  <c r="P124" i="5" s="1"/>
  <c r="P125" i="5" s="1"/>
  <c r="P126" i="5" s="1"/>
  <c r="P127" i="5" s="1"/>
  <c r="P128" i="5" s="1"/>
  <c r="P129" i="5" s="1"/>
  <c r="P130" i="5" s="1"/>
  <c r="P131" i="5" s="1"/>
  <c r="P132" i="5" s="1"/>
  <c r="P133" i="5" s="1"/>
  <c r="P134" i="5" s="1"/>
  <c r="P135" i="5" s="1"/>
  <c r="P136" i="5" s="1"/>
  <c r="P137" i="5" s="1"/>
  <c r="P138" i="5" s="1"/>
  <c r="P139" i="5" s="1"/>
  <c r="P140" i="5" s="1"/>
  <c r="P141" i="5" s="1"/>
  <c r="P142" i="5" s="1"/>
  <c r="P143" i="5" s="1"/>
  <c r="P144" i="5" s="1"/>
  <c r="P145" i="5" s="1"/>
  <c r="P146" i="5" s="1"/>
  <c r="P147" i="5" s="1"/>
  <c r="P148" i="5" s="1"/>
  <c r="P149" i="5" s="1"/>
  <c r="P150" i="5" s="1"/>
  <c r="P151" i="5" s="1"/>
  <c r="P152" i="5" s="1"/>
  <c r="P153" i="5" s="1"/>
  <c r="P154" i="5" s="1"/>
  <c r="P155" i="5" s="1"/>
  <c r="P156" i="5" s="1"/>
  <c r="P157" i="5" s="1"/>
  <c r="P158" i="5" s="1"/>
  <c r="P159" i="5" s="1"/>
  <c r="P160" i="5" s="1"/>
  <c r="P161" i="5" s="1"/>
  <c r="P162" i="5" s="1"/>
  <c r="P163" i="5" s="1"/>
  <c r="P164" i="5" s="1"/>
  <c r="P165" i="5" s="1"/>
  <c r="P166" i="5" s="1"/>
  <c r="P167" i="5" s="1"/>
  <c r="P168" i="5" s="1"/>
  <c r="P169" i="5" s="1"/>
  <c r="P170" i="5" s="1"/>
  <c r="P171" i="5" s="1"/>
  <c r="P172" i="5" s="1"/>
  <c r="P173" i="5" s="1"/>
  <c r="P174" i="5" s="1"/>
  <c r="P175" i="5" s="1"/>
  <c r="P176" i="5" s="1"/>
  <c r="P177" i="5" s="1"/>
  <c r="P178" i="5" s="1"/>
  <c r="P179" i="5" s="1"/>
  <c r="P180" i="5" s="1"/>
  <c r="P181" i="5" s="1"/>
  <c r="P182" i="5" s="1"/>
  <c r="P183" i="5" s="1"/>
  <c r="P184" i="5" s="1"/>
  <c r="P185" i="5" s="1"/>
  <c r="P186" i="5" s="1"/>
  <c r="P187" i="5" s="1"/>
  <c r="P188" i="5" s="1"/>
  <c r="P189" i="5" s="1"/>
  <c r="P190" i="5" s="1"/>
  <c r="P191" i="5" s="1"/>
  <c r="P192" i="5" s="1"/>
  <c r="P193" i="5" s="1"/>
  <c r="P194" i="5" s="1"/>
  <c r="P195" i="5" s="1"/>
  <c r="P196" i="5" s="1"/>
  <c r="P197" i="5" s="1"/>
  <c r="P198" i="5" s="1"/>
  <c r="P199" i="5" s="1"/>
  <c r="P200" i="5" s="1"/>
  <c r="P201" i="5" s="1"/>
  <c r="P202" i="5" s="1"/>
  <c r="P203" i="5" s="1"/>
  <c r="P204" i="5" s="1"/>
  <c r="P205" i="5" s="1"/>
  <c r="P206" i="5" s="1"/>
  <c r="P207" i="5" s="1"/>
  <c r="P208" i="5" s="1"/>
  <c r="P209" i="5" s="1"/>
  <c r="P210" i="5" s="1"/>
  <c r="P211" i="5" s="1"/>
  <c r="P212" i="5" s="1"/>
  <c r="P213" i="5" s="1"/>
  <c r="P214" i="5" s="1"/>
  <c r="P215" i="5" s="1"/>
  <c r="P216" i="5" s="1"/>
  <c r="P217" i="5" s="1"/>
  <c r="P218" i="5" s="1"/>
  <c r="P219" i="5" s="1"/>
  <c r="P220" i="5" s="1"/>
  <c r="P221" i="5" s="1"/>
  <c r="P222" i="5" s="1"/>
  <c r="P223" i="5" s="1"/>
  <c r="P224" i="5" s="1"/>
  <c r="P225" i="5" s="1"/>
  <c r="P226" i="5" s="1"/>
  <c r="P227" i="5" s="1"/>
  <c r="P228" i="5" s="1"/>
  <c r="P229" i="5" s="1"/>
  <c r="P230" i="5" s="1"/>
  <c r="P231" i="5" s="1"/>
  <c r="P232" i="5" s="1"/>
  <c r="P233" i="5" s="1"/>
  <c r="P234" i="5" s="1"/>
  <c r="P235" i="5" s="1"/>
  <c r="P236" i="5" s="1"/>
  <c r="P237" i="5" s="1"/>
  <c r="P238" i="5" s="1"/>
  <c r="P239" i="5" s="1"/>
  <c r="P240" i="5" s="1"/>
  <c r="P241" i="5" s="1"/>
  <c r="P242" i="5" s="1"/>
  <c r="P243" i="5" s="1"/>
  <c r="P244" i="5" s="1"/>
  <c r="P245" i="5" s="1"/>
  <c r="P246" i="5" s="1"/>
  <c r="P247" i="5" s="1"/>
  <c r="P248" i="5" s="1"/>
  <c r="P249" i="5" s="1"/>
  <c r="P250" i="5" s="1"/>
  <c r="P251" i="5" s="1"/>
  <c r="P252" i="5" s="1"/>
  <c r="P253" i="5" s="1"/>
  <c r="P254" i="5" s="1"/>
  <c r="P255" i="5" s="1"/>
  <c r="P256" i="5" s="1"/>
  <c r="P257" i="5" s="1"/>
  <c r="P258" i="5" s="1"/>
  <c r="P259" i="5" s="1"/>
  <c r="P260" i="5" s="1"/>
  <c r="P261" i="5" s="1"/>
  <c r="P262" i="5" s="1"/>
  <c r="P263" i="5" s="1"/>
  <c r="P264" i="5" s="1"/>
  <c r="P265" i="5" s="1"/>
  <c r="P266" i="5" s="1"/>
  <c r="P267" i="5" s="1"/>
  <c r="P268" i="5" s="1"/>
  <c r="P269" i="5" s="1"/>
  <c r="P270" i="5" s="1"/>
  <c r="P271" i="5" s="1"/>
  <c r="P272" i="5" s="1"/>
  <c r="P273" i="5" s="1"/>
  <c r="P274" i="5" s="1"/>
  <c r="P275" i="5" s="1"/>
  <c r="P276" i="5" s="1"/>
  <c r="P277" i="5" s="1"/>
  <c r="P278" i="5" s="1"/>
  <c r="P279" i="5" s="1"/>
  <c r="P280" i="5" s="1"/>
  <c r="P281" i="5" s="1"/>
  <c r="P282" i="5" s="1"/>
  <c r="P283" i="5" s="1"/>
  <c r="P284" i="5" s="1"/>
  <c r="P285" i="5" s="1"/>
  <c r="P286" i="5" s="1"/>
  <c r="P287" i="5" s="1"/>
  <c r="P288" i="5" s="1"/>
  <c r="P289" i="5" s="1"/>
  <c r="P290" i="5" s="1"/>
  <c r="P291" i="5" s="1"/>
  <c r="P292" i="5" s="1"/>
  <c r="P293" i="5" s="1"/>
  <c r="P294" i="5" s="1"/>
  <c r="P295" i="5" s="1"/>
  <c r="P296" i="5" s="1"/>
  <c r="P297" i="5" s="1"/>
  <c r="P298" i="5" s="1"/>
  <c r="P299" i="5" s="1"/>
  <c r="P300" i="5" s="1"/>
  <c r="P301" i="5" s="1"/>
  <c r="P302" i="5" s="1"/>
  <c r="P303" i="5" s="1"/>
  <c r="P304" i="5" s="1"/>
  <c r="P305" i="5" s="1"/>
  <c r="P306" i="5" s="1"/>
  <c r="P307" i="5" s="1"/>
  <c r="P308" i="5" s="1"/>
  <c r="P309" i="5" s="1"/>
  <c r="P310" i="5" s="1"/>
  <c r="P311" i="5" s="1"/>
  <c r="P312" i="5" s="1"/>
  <c r="P313" i="5" s="1"/>
  <c r="P314" i="5" s="1"/>
  <c r="P315" i="5" s="1"/>
  <c r="P316" i="5" s="1"/>
  <c r="P317" i="5" s="1"/>
  <c r="P318" i="5" s="1"/>
  <c r="P319" i="5" s="1"/>
  <c r="P320" i="5" s="1"/>
  <c r="P321" i="5" s="1"/>
  <c r="P322" i="5" s="1"/>
  <c r="P323" i="5" s="1"/>
  <c r="P324" i="5" s="1"/>
  <c r="P325" i="5" s="1"/>
  <c r="P326" i="5" s="1"/>
  <c r="P327" i="5" s="1"/>
  <c r="P328" i="5" s="1"/>
  <c r="P329" i="5" s="1"/>
  <c r="P330" i="5" s="1"/>
  <c r="P331" i="5" s="1"/>
  <c r="P332" i="5" s="1"/>
  <c r="P333" i="5" s="1"/>
  <c r="P334" i="5" s="1"/>
  <c r="P335" i="5" s="1"/>
  <c r="P336" i="5" s="1"/>
  <c r="P337" i="5" s="1"/>
  <c r="P338" i="5" s="1"/>
  <c r="P339" i="5" s="1"/>
  <c r="P340" i="5" s="1"/>
  <c r="P341" i="5" s="1"/>
  <c r="P342" i="5" s="1"/>
  <c r="P343" i="5" s="1"/>
  <c r="P344" i="5" s="1"/>
  <c r="P345" i="5" s="1"/>
  <c r="P346" i="5" s="1"/>
  <c r="P347" i="5" s="1"/>
  <c r="P348" i="5" s="1"/>
  <c r="P349" i="5" s="1"/>
  <c r="P350" i="5" s="1"/>
  <c r="P351" i="5" s="1"/>
  <c r="P352" i="5" s="1"/>
  <c r="P353" i="5" s="1"/>
  <c r="P354" i="5" s="1"/>
  <c r="P355" i="5" s="1"/>
  <c r="P356" i="5" s="1"/>
  <c r="P357" i="5" s="1"/>
  <c r="P358" i="5" s="1"/>
  <c r="P359" i="5" s="1"/>
  <c r="P360" i="5" s="1"/>
  <c r="P361" i="5" s="1"/>
  <c r="P362" i="5" s="1"/>
  <c r="P363" i="5" s="1"/>
  <c r="P364" i="5" s="1"/>
  <c r="P365" i="5" s="1"/>
  <c r="P366" i="5" s="1"/>
  <c r="P367" i="5" s="1"/>
  <c r="P368" i="5" s="1"/>
  <c r="P369" i="5" s="1"/>
  <c r="P19" i="5"/>
  <c r="P20" i="5" s="1"/>
  <c r="P21" i="5" s="1"/>
  <c r="P22" i="5" s="1"/>
  <c r="P23" i="5" s="1"/>
  <c r="P24" i="5" s="1"/>
  <c r="P25" i="5" s="1"/>
  <c r="P26" i="5" s="1"/>
  <c r="P27" i="5" s="1"/>
  <c r="P28" i="5" s="1"/>
  <c r="P29" i="5" s="1"/>
  <c r="P30" i="5" s="1"/>
  <c r="P31" i="5" s="1"/>
  <c r="P32" i="5" s="1"/>
  <c r="P33" i="5" s="1"/>
  <c r="P34" i="5" s="1"/>
  <c r="P35" i="5" s="1"/>
  <c r="P36" i="5" s="1"/>
  <c r="P37" i="5" s="1"/>
  <c r="P38" i="5" s="1"/>
  <c r="P39" i="5" s="1"/>
  <c r="P40" i="5" s="1"/>
  <c r="P41" i="5" s="1"/>
  <c r="P42" i="5" s="1"/>
  <c r="P43" i="5" s="1"/>
  <c r="P44" i="5" s="1"/>
  <c r="P45" i="5" s="1"/>
  <c r="P46" i="5" s="1"/>
  <c r="P47" i="5" s="1"/>
  <c r="P48" i="5" s="1"/>
  <c r="P49" i="5" s="1"/>
  <c r="P50" i="5" s="1"/>
  <c r="P51" i="5" s="1"/>
  <c r="P52" i="5" s="1"/>
  <c r="P53" i="5" s="1"/>
  <c r="P54" i="5" s="1"/>
  <c r="P55" i="5" s="1"/>
  <c r="P56" i="5" s="1"/>
  <c r="P57" i="5" s="1"/>
  <c r="P58" i="5" s="1"/>
  <c r="P59" i="5" s="1"/>
  <c r="P60" i="5" s="1"/>
  <c r="P61" i="5" s="1"/>
  <c r="P62" i="5" s="1"/>
  <c r="P63" i="5" s="1"/>
  <c r="P64" i="5" s="1"/>
  <c r="P65" i="5" s="1"/>
  <c r="P66" i="5" s="1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P96" i="5" s="1"/>
  <c r="P97" i="5" s="1"/>
  <c r="P98" i="5" s="1"/>
  <c r="P99" i="5" s="1"/>
  <c r="P100" i="5" s="1"/>
  <c r="P101" i="5" s="1"/>
  <c r="P102" i="5" s="1"/>
  <c r="P103" i="5" s="1"/>
  <c r="P104" i="5" s="1"/>
  <c r="P105" i="5" s="1"/>
  <c r="P106" i="5" s="1"/>
  <c r="P107" i="5" s="1"/>
  <c r="P108" i="5" s="1"/>
  <c r="P109" i="5" s="1"/>
  <c r="P110" i="5" s="1"/>
  <c r="P111" i="5" s="1"/>
  <c r="P112" i="5" s="1"/>
  <c r="P113" i="5" s="1"/>
  <c r="P114" i="5" s="1"/>
  <c r="P115" i="5" s="1"/>
  <c r="P116" i="5" s="1"/>
  <c r="P117" i="5" s="1"/>
  <c r="P6" i="5"/>
  <c r="P7" i="5" s="1"/>
  <c r="P8" i="5" s="1"/>
  <c r="P9" i="5" s="1"/>
  <c r="P10" i="5" s="1"/>
  <c r="P11" i="5" s="1"/>
  <c r="P12" i="5" s="1"/>
  <c r="P13" i="5" s="1"/>
  <c r="P14" i="5" s="1"/>
  <c r="P15" i="5" s="1"/>
  <c r="P16" i="5" s="1"/>
  <c r="P17" i="5" s="1"/>
  <c r="P18" i="5" s="1"/>
  <c r="P5" i="5"/>
  <c r="U6" i="4"/>
  <c r="U9" i="4"/>
  <c r="T3" i="4"/>
  <c r="U3" i="4" s="1"/>
  <c r="T4" i="4"/>
  <c r="U4" i="4" s="1"/>
  <c r="T5" i="4"/>
  <c r="U5" i="4" s="1"/>
  <c r="T6" i="4"/>
  <c r="T7" i="4"/>
  <c r="U7" i="4" s="1"/>
  <c r="T8" i="4"/>
  <c r="U8" i="4" s="1"/>
  <c r="T9" i="4"/>
  <c r="R3" i="4"/>
  <c r="R4" i="4"/>
  <c r="R5" i="4"/>
  <c r="R6" i="4"/>
  <c r="R7" i="4"/>
  <c r="R8" i="4"/>
  <c r="R9" i="4"/>
  <c r="Q3" i="4"/>
  <c r="Q4" i="4"/>
  <c r="Q5" i="4"/>
  <c r="Q6" i="4"/>
  <c r="Q7" i="4"/>
  <c r="Q8" i="4"/>
  <c r="Q9" i="4"/>
  <c r="P3" i="4"/>
  <c r="P4" i="4"/>
  <c r="P5" i="4"/>
  <c r="P6" i="4"/>
  <c r="P7" i="4"/>
  <c r="P8" i="4"/>
  <c r="P9" i="4"/>
  <c r="L6" i="2"/>
  <c r="L2" i="2"/>
  <c r="F3" i="2"/>
  <c r="F8" i="2"/>
  <c r="F2" i="2"/>
  <c r="N3" i="4"/>
  <c r="O3" i="4" s="1"/>
  <c r="N4" i="4"/>
  <c r="O4" i="4" s="1"/>
  <c r="N5" i="4"/>
  <c r="O5" i="4" s="1"/>
  <c r="N6" i="4"/>
  <c r="O6" i="4" s="1"/>
  <c r="N7" i="4"/>
  <c r="O7" i="4" s="1"/>
  <c r="N8" i="4"/>
  <c r="O8" i="4" s="1"/>
  <c r="N9" i="4"/>
  <c r="O9" i="4" s="1"/>
  <c r="D1" i="3" l="1"/>
  <c r="Z6" i="4"/>
  <c r="AB6" i="4" s="1"/>
  <c r="AE6" i="4" s="1"/>
  <c r="Z3" i="4"/>
  <c r="AB3" i="4" s="1"/>
  <c r="Z4" i="4"/>
  <c r="AB4" i="4" s="1"/>
  <c r="AE4" i="4" s="1"/>
  <c r="Z9" i="4"/>
  <c r="AB9" i="4" s="1"/>
  <c r="AE9" i="4" s="1"/>
  <c r="Z5" i="4"/>
  <c r="AB5" i="4" s="1"/>
  <c r="AE5" i="4" s="1"/>
  <c r="Z8" i="4"/>
  <c r="AB8" i="4" s="1"/>
  <c r="AE8" i="4" s="1"/>
  <c r="Z7" i="4"/>
  <c r="AB7" i="4" s="1"/>
  <c r="AE7" i="4" s="1"/>
  <c r="AE3" i="4"/>
</calcChain>
</file>

<file path=xl/sharedStrings.xml><?xml version="1.0" encoding="utf-8"?>
<sst xmlns="http://schemas.openxmlformats.org/spreadsheetml/2006/main" count="416" uniqueCount="183">
  <si>
    <t>Date</t>
  </si>
  <si>
    <t>USGG10YR Index</t>
  </si>
  <si>
    <t>USGG7YR Index</t>
  </si>
  <si>
    <t>USGG5YR Index</t>
  </si>
  <si>
    <t>USGG3YR Index</t>
  </si>
  <si>
    <t>USGG2YR Index</t>
  </si>
  <si>
    <t>USGG12M Index</t>
  </si>
  <si>
    <t>USGG6M Index</t>
  </si>
  <si>
    <t>USGG3M Index</t>
  </si>
  <si>
    <t>USGG1M Index</t>
  </si>
  <si>
    <t>VUS001Y Index</t>
  </si>
  <si>
    <t>VUS0006M Index</t>
  </si>
  <si>
    <t>VUS0003M Index</t>
  </si>
  <si>
    <t>VUS0002M Index</t>
  </si>
  <si>
    <t>VUS0001M Index</t>
  </si>
  <si>
    <t>VUS0001W Index</t>
  </si>
  <si>
    <t>VUS00ON Index</t>
  </si>
  <si>
    <t>VEE00ON Index</t>
  </si>
  <si>
    <t>VEE0001M Index</t>
  </si>
  <si>
    <t>VEE0001W Index</t>
  </si>
  <si>
    <t>VEE0003M Index</t>
  </si>
  <si>
    <t>VEE0006M Index</t>
  </si>
  <si>
    <t>VEE001Y index</t>
  </si>
  <si>
    <t>EURON Curncy</t>
  </si>
  <si>
    <t>EURTN Curncy</t>
  </si>
  <si>
    <t>EURSN Curncy</t>
  </si>
  <si>
    <t>EUR1W Curncy</t>
  </si>
  <si>
    <t>EUR2W Curncy</t>
  </si>
  <si>
    <t>EUR3W Curncy</t>
  </si>
  <si>
    <t>EUR1M Curncy</t>
  </si>
  <si>
    <t>EUR2M Curncy</t>
  </si>
  <si>
    <t>EUR3M Curncy</t>
  </si>
  <si>
    <t>USRGCY1T Curncy</t>
  </si>
  <si>
    <t>USRGCY1Z Curncy</t>
  </si>
  <si>
    <t>USRGCY2Z Curncy</t>
  </si>
  <si>
    <t>USRGCY3Z Curncy</t>
  </si>
  <si>
    <t>USRGCYA Curncy</t>
  </si>
  <si>
    <t>USRGCYB Curncy</t>
  </si>
  <si>
    <t>USRGCYC Curncy</t>
  </si>
  <si>
    <t>USRG1T Curncy</t>
  </si>
  <si>
    <t>USRGCGA Curncy</t>
  </si>
  <si>
    <t>USRGCG2Z Curncy</t>
  </si>
  <si>
    <t>USRGCGB Curncy</t>
  </si>
  <si>
    <t>USRGCGF Curncy</t>
  </si>
  <si>
    <t>TSFR1M Index</t>
  </si>
  <si>
    <t>TSFR3M Index</t>
  </si>
  <si>
    <t>TSFR6M Index</t>
  </si>
  <si>
    <t>TSFR12M Index</t>
  </si>
  <si>
    <t>SOFRRATE Index</t>
  </si>
  <si>
    <t>OBFR01 Index</t>
  </si>
  <si>
    <t>FEDL01 Index</t>
  </si>
  <si>
    <t>FEDL02 Index</t>
  </si>
  <si>
    <t>YUS00ON Index</t>
  </si>
  <si>
    <t>YUS0001M Index</t>
  </si>
  <si>
    <t>YUS0003M Index</t>
  </si>
  <si>
    <t>YUS0006M Index</t>
  </si>
  <si>
    <t>YUS001Y Index</t>
  </si>
  <si>
    <t>1.76</t>
  </si>
  <si>
    <t>0.425</t>
  </si>
  <si>
    <t>0.427</t>
  </si>
  <si>
    <t>2.96</t>
  </si>
  <si>
    <t>5.95</t>
  </si>
  <si>
    <t>8.99</t>
  </si>
  <si>
    <t>14.26</t>
  </si>
  <si>
    <t>26.59</t>
  </si>
  <si>
    <t>40.57</t>
  </si>
  <si>
    <t>Tenor</t>
  </si>
  <si>
    <t>Dates</t>
  </si>
  <si>
    <t>Day Count</t>
  </si>
  <si>
    <t>Ticker Code</t>
  </si>
  <si>
    <t>Spread Code</t>
  </si>
  <si>
    <t>SOFR</t>
  </si>
  <si>
    <t>FX Forward rates</t>
  </si>
  <si>
    <t>EUR LIBOR</t>
  </si>
  <si>
    <t>Rev Repo</t>
  </si>
  <si>
    <t>USRGCYC Curncy2</t>
  </si>
  <si>
    <t>O/N</t>
  </si>
  <si>
    <t>T/N</t>
  </si>
  <si>
    <t>S/N</t>
  </si>
  <si>
    <t>1W</t>
  </si>
  <si>
    <t>2W</t>
  </si>
  <si>
    <t>3W</t>
  </si>
  <si>
    <t>1M</t>
  </si>
  <si>
    <t>2M</t>
  </si>
  <si>
    <t>3M</t>
  </si>
  <si>
    <t>6M</t>
  </si>
  <si>
    <t>1Y</t>
  </si>
  <si>
    <t>REPORTING DATE:</t>
  </si>
  <si>
    <t>As of Date</t>
  </si>
  <si>
    <t>Account Name</t>
  </si>
  <si>
    <t>Counterparty Name</t>
  </si>
  <si>
    <t>Position ID</t>
  </si>
  <si>
    <t>Settlement Date</t>
  </si>
  <si>
    <t>Term Date</t>
  </si>
  <si>
    <t>Days to Maturity</t>
  </si>
  <si>
    <t>Rate Type</t>
  </si>
  <si>
    <t>Benchmark</t>
  </si>
  <si>
    <t>Investment Yield</t>
  </si>
  <si>
    <t>Accrued Interest</t>
  </si>
  <si>
    <t>Trade Ccy</t>
  </si>
  <si>
    <t>Nominal</t>
  </si>
  <si>
    <t>Code Concatenate</t>
  </si>
  <si>
    <t>Code Concatenate 2</t>
  </si>
  <si>
    <t>If Expired</t>
  </si>
  <si>
    <t>Total expected Interest  on reverse repo</t>
  </si>
  <si>
    <t>Open reverse repos</t>
  </si>
  <si>
    <t>Original maturity</t>
  </si>
  <si>
    <t>Remaining days</t>
  </si>
  <si>
    <t>Duration</t>
  </si>
  <si>
    <t>1bpv</t>
  </si>
  <si>
    <t>100bpv</t>
  </si>
  <si>
    <t>Interpolated rate for maturity date</t>
  </si>
  <si>
    <t>Yield Diff</t>
  </si>
  <si>
    <t xml:space="preserve">Unrealized value (For remaining period to Maturity) </t>
  </si>
  <si>
    <t>Unrealized P/L at the end of prior period (Half Yr)</t>
  </si>
  <si>
    <t>Change in unrealized value</t>
  </si>
  <si>
    <t>Income Calculation days</t>
  </si>
  <si>
    <t>Income earned  (Period to date)</t>
  </si>
  <si>
    <t>Income + Change in unrealized value</t>
  </si>
  <si>
    <t>Sr No.</t>
  </si>
  <si>
    <t>BANK OF AMERICA SECURITIES INC.</t>
  </si>
  <si>
    <t>FLOAT</t>
  </si>
  <si>
    <t>SOFR+45</t>
  </si>
  <si>
    <t>USD</t>
  </si>
  <si>
    <t>OBFR+35</t>
  </si>
  <si>
    <t>BNP Paribas SA</t>
  </si>
  <si>
    <t>SOFR+9</t>
  </si>
  <si>
    <t>Royal Bank of Canada, Toronto Branch Transit</t>
  </si>
  <si>
    <t>OBFR+22</t>
  </si>
  <si>
    <t>RBC CAPITAL MARKETS, LLC</t>
  </si>
  <si>
    <t>OBFR+10</t>
  </si>
  <si>
    <t>Pershing LLC</t>
  </si>
  <si>
    <t>OBFR+65</t>
  </si>
  <si>
    <t>NOMURA SECURITIES INTL INC</t>
  </si>
  <si>
    <t>OBFR+15</t>
  </si>
  <si>
    <t>NYC CA 120</t>
  </si>
  <si>
    <t>AAPL</t>
  </si>
  <si>
    <t>GOOGL</t>
  </si>
  <si>
    <t>MSFT</t>
  </si>
  <si>
    <t>JNJ</t>
  </si>
  <si>
    <t>KO</t>
  </si>
  <si>
    <t>^IRX</t>
  </si>
  <si>
    <t>Open</t>
  </si>
  <si>
    <t>High</t>
  </si>
  <si>
    <t>Low</t>
  </si>
  <si>
    <t>Close</t>
  </si>
  <si>
    <t>Adj Close</t>
  </si>
  <si>
    <t>Volume</t>
  </si>
  <si>
    <t>Weight</t>
  </si>
  <si>
    <t>Return</t>
  </si>
  <si>
    <t>Volatility</t>
  </si>
  <si>
    <t>MovingAverage</t>
  </si>
  <si>
    <t>Weekday</t>
  </si>
  <si>
    <t>Name</t>
  </si>
  <si>
    <t>Type</t>
  </si>
  <si>
    <t>Monday</t>
  </si>
  <si>
    <t>New Year's Day</t>
  </si>
  <si>
    <t>National holiday</t>
  </si>
  <si>
    <t>National Heroes Day</t>
  </si>
  <si>
    <t>Wednesday</t>
  </si>
  <si>
    <t>Ash Wednesday</t>
  </si>
  <si>
    <t>Friday</t>
  </si>
  <si>
    <t>Good Friday</t>
  </si>
  <si>
    <t>Easter Monday</t>
  </si>
  <si>
    <t>Coronation of King Charles III</t>
  </si>
  <si>
    <t>Discovery Day</t>
  </si>
  <si>
    <t>Constitution Day</t>
  </si>
  <si>
    <t>Remembrance Day</t>
  </si>
  <si>
    <t>Christmas day</t>
  </si>
  <si>
    <t>Tuesday</t>
  </si>
  <si>
    <t>Boxing Day</t>
  </si>
  <si>
    <t>RETURN</t>
  </si>
  <si>
    <t>Historical 95% VaR</t>
  </si>
  <si>
    <t>Parametric VaR</t>
  </si>
  <si>
    <t>K/S检验</t>
  </si>
  <si>
    <t>QQ-plot</t>
  </si>
  <si>
    <t>Funding rate</t>
  </si>
  <si>
    <t>USD Term Depo</t>
  </si>
  <si>
    <t>Term Depo Cost</t>
  </si>
  <si>
    <t>Rev Repo Cost</t>
  </si>
  <si>
    <t>Trading Cost</t>
  </si>
  <si>
    <t>trading amount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</si>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</sst>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5" formatCode="&quot;$&quot;#,##0;\-&quot;$&quot;#,##0"/>
    <numFmt numFmtId="7" formatCode="&quot;$&quot;#,##0.00;\-&quot;$&quot;#,##0.00"/>
    <numFmt numFmtId="8" formatCode="&quot;$&quot;#,##0.00;[Red]\-&quot;$&quot;#,##0.0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000000000_-;\-* #,##0.0000000000_-;_-* &quot;-&quot;_-;_-@_-"/>
    <numFmt numFmtId="165" formatCode="0.0000"/>
    <numFmt numFmtId="166" formatCode="_-&quot;£&quot;* #,##0_-;\-&quot;£&quot;* #,##0_-;_-&quot;£&quot;* &quot;-&quot;_-;_-@_-"/>
    <numFmt numFmtId="167" formatCode="_-&quot;£&quot;* #,##0.00_-;\-&quot;£&quot;* #,##0.00_-;_-&quot;£&quot;* &quot;-&quot;??_-;_-@_-"/>
    <numFmt numFmtId="168" formatCode="0.0_)\%;\(0.0\)\%;0.0_)\%;@_)_%"/>
    <numFmt numFmtId="169" formatCode="#,##0.0_)_%;\(#,##0.0\)_%;0.0_)_%;@_)_%"/>
    <numFmt numFmtId="170" formatCode="#,##0.0_);\(#,##0.0\);#,##0.0_);@_)"/>
    <numFmt numFmtId="171" formatCode="&quot;$&quot;_(#,##0.00_);&quot;$&quot;\(#,##0.00\);&quot;$&quot;_(0.00_);@_)"/>
    <numFmt numFmtId="172" formatCode="#,##0.00_);\(#,##0.00\);0.00_);@_)"/>
    <numFmt numFmtId="173" formatCode="\€_(#,##0.00_);\€\(#,##0.00\);\€_(0.00_);@_)"/>
    <numFmt numFmtId="174" formatCode="#,##0_)\x;\(#,##0\)\x;0_)\x;@_)_x"/>
    <numFmt numFmtId="175" formatCode="#,##0_)_x;\(#,##0\)_x;0_)_x;@_)_x"/>
    <numFmt numFmtId="176" formatCode="&quot;$&quot;#,##0_);[Red]\(&quot;$&quot;#,##0\);&quot;-&quot;"/>
    <numFmt numFmtId="177" formatCode="#,##0\ ;\(#,##0\);\-\ \ \ \ \ "/>
    <numFmt numFmtId="178" formatCode="#,##0\ ;\(#,##0\);\–\ \ \ \ \ "/>
    <numFmt numFmtId="179" formatCode="&quot;fl&quot;#,##0_);\(&quot;fl&quot;#,##0\)"/>
    <numFmt numFmtId="180" formatCode="&quot;$&quot;\ #,##0_);\(&quot;$&quot;\ #,##0\)"/>
    <numFmt numFmtId="181" formatCode="_(&quot;R$&quot;* #,##0.00_);_(&quot;R$&quot;* \(#,##0.00\);_(&quot;R$&quot;* &quot;-&quot;??_);_(@_)"/>
    <numFmt numFmtId="182" formatCode="mmmm\ d\,\ yyyy"/>
    <numFmt numFmtId="183" formatCode="[Black]#,###_);[Black]\(#,###\);&quot;-&quot;_)"/>
    <numFmt numFmtId="184" formatCode="\$#,##0_);[Red]\(\$#,##0\)"/>
    <numFmt numFmtId="185" formatCode="General_)"/>
    <numFmt numFmtId="186" formatCode="&quot;$&quot;#,##0.0000_);[Red]\(&quot;$&quot;#,##0.0000\)"/>
    <numFmt numFmtId="187" formatCode=".00_)"/>
    <numFmt numFmtId="188" formatCode="#,##0&quot;?&quot;_);[Red]\(#,##0&quot;?&quot;\)"/>
    <numFmt numFmtId="189" formatCode="_([$€-2]* #,##0.00_);_([$€-2]* \(#,##0.00\);_([$€-2]* &quot;-&quot;??_)"/>
    <numFmt numFmtId="190" formatCode="0.00000000000%"/>
    <numFmt numFmtId="191" formatCode="#,##0\ \ ;\(#,##0\)\ ;\—\ \ \ \ "/>
    <numFmt numFmtId="192" formatCode="0_)"/>
    <numFmt numFmtId="193" formatCode="#,##0.000;\(#,##0.000\)"/>
    <numFmt numFmtId="194" formatCode="_ * #,##0_ ;_ * \-#,##0_ ;_ * &quot;-&quot;_ ;_ @_ "/>
    <numFmt numFmtId="195" formatCode="_ * #,##0.00_ ;_ * \-#,##0.00_ ;_ * &quot;-&quot;??_ ;_ @_ "/>
    <numFmt numFmtId="196" formatCode="_-* #,##0\ _F_-;\-* #,##0\ _F_-;_-* &quot;-&quot;\ _F_-;_-@_-"/>
    <numFmt numFmtId="197" formatCode="_-* #,##0.00\ _F_-;\-* #,##0.00\ _F_-;_-* &quot;-&quot;??\ _F_-;_-@_-"/>
    <numFmt numFmtId="198" formatCode="0.00000&quot;  &quot;"/>
    <numFmt numFmtId="199" formatCode="&quot;R&quot;\ #,##0;&quot;R&quot;\ \-#,##0"/>
    <numFmt numFmtId="200" formatCode="_-* #,##0\ &quot;F&quot;_-;\-* #,##0\ &quot;F&quot;_-;_-* &quot;-&quot;\ &quot;F&quot;_-;_-@_-"/>
    <numFmt numFmtId="201" formatCode="_-* #,##0.00\ &quot;F&quot;_-;\-* #,##0.00\ &quot;F&quot;_-;_-* &quot;-&quot;??\ &quot;F&quot;_-;_-@_-"/>
    <numFmt numFmtId="202" formatCode="0.00_)"/>
    <numFmt numFmtId="203" formatCode="#,##0\ ;\(#,##0\)"/>
    <numFmt numFmtId="204" formatCode="&quot;\&quot;#,##0.00;[Red]\-&quot;\&quot;#,##0.00"/>
    <numFmt numFmtId="205" formatCode="#,##0.0\%_);\(#,##0.0\%\);#,##0.0\%_);@_)"/>
    <numFmt numFmtId="206" formatCode="[$-409]d\-mmm\-yyyy;@"/>
    <numFmt numFmtId="207" formatCode="#,###,;\(#,###,\)"/>
    <numFmt numFmtId="208" formatCode="###0.00"/>
    <numFmt numFmtId="209" formatCode="###0.0000"/>
    <numFmt numFmtId="210" formatCode="#.##%"/>
    <numFmt numFmtId="211" formatCode="_(* #,##0.000_);_(* \(#,##0.000\);_(* &quot;-&quot;???_);_(@_)"/>
    <numFmt numFmtId="212" formatCode="_(* #,##0.00_);_(* \(#,##0.00\);_(* &quot;-&quot;??_);_(@_)"/>
    <numFmt numFmtId="213" formatCode="dd\-mmm\-yyyy"/>
  </numFmts>
  <fonts count="1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10.5"/>
      <color theme="1"/>
      <name val="Frutiger 45 Light"/>
      <family val="2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MS Sans Serif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name val="MS Sans Serif"/>
      <family val="2"/>
    </font>
    <font>
      <sz val="10"/>
      <name val="Geneva"/>
      <family val="2"/>
    </font>
    <font>
      <sz val="10"/>
      <name val="Geneva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Times New Roman"/>
      <family val="1"/>
    </font>
    <font>
      <sz val="11"/>
      <color indexed="10"/>
      <name val="–¾’©"/>
      <charset val="128"/>
    </font>
    <font>
      <sz val="8"/>
      <name val="Helv"/>
    </font>
    <font>
      <sz val="8"/>
      <name val="Arial"/>
      <family val="2"/>
    </font>
    <font>
      <b/>
      <sz val="12"/>
      <color indexed="8"/>
      <name val="Times New Roman"/>
      <family val="1"/>
    </font>
    <font>
      <sz val="10"/>
      <color indexed="8"/>
      <name val="Verdana"/>
      <family val="2"/>
    </font>
    <font>
      <b/>
      <sz val="10"/>
      <color indexed="9"/>
      <name val="MS Sans Serif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1"/>
      <name val="Times New Roman"/>
      <family val="1"/>
    </font>
    <font>
      <sz val="9"/>
      <name val="Arial"/>
      <family val="2"/>
    </font>
    <font>
      <sz val="8"/>
      <name val="CG Omega"/>
      <family val="2"/>
    </font>
    <font>
      <sz val="9"/>
      <name val="Univers Condensed"/>
      <family val="2"/>
    </font>
    <font>
      <b/>
      <sz val="12"/>
      <name val="Univers Condensed"/>
      <family val="2"/>
    </font>
    <font>
      <sz val="10"/>
      <name val="Univers Condensed"/>
      <family val="2"/>
    </font>
    <font>
      <sz val="9"/>
      <name val="Garamond"/>
      <family val="1"/>
    </font>
    <font>
      <b/>
      <sz val="11"/>
      <name val="Arial"/>
      <family val="2"/>
    </font>
    <font>
      <sz val="8"/>
      <name val="Palatino"/>
      <family val="1"/>
    </font>
    <font>
      <sz val="10.5"/>
      <name val="Frutiger 45 Light"/>
      <family val="2"/>
    </font>
    <font>
      <sz val="10"/>
      <name val="BERNHARD"/>
    </font>
    <font>
      <sz val="10"/>
      <name val="Helv"/>
    </font>
    <font>
      <b/>
      <sz val="14"/>
      <name val="Arial"/>
      <family val="2"/>
    </font>
    <font>
      <b/>
      <sz val="11"/>
      <name val="Times New Roman"/>
      <family val="1"/>
    </font>
    <font>
      <sz val="8"/>
      <name val="MS Sans Serif"/>
      <family val="2"/>
    </font>
    <font>
      <sz val="10"/>
      <color indexed="9"/>
      <name val="MS Sans Serif"/>
      <family val="2"/>
    </font>
    <font>
      <sz val="12"/>
      <name val="Helv"/>
    </font>
    <font>
      <b/>
      <sz val="10"/>
      <color indexed="12"/>
      <name val="Frutiger 45 Light"/>
      <family val="2"/>
    </font>
    <font>
      <b/>
      <sz val="10"/>
      <color indexed="12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9.5"/>
      <color indexed="10"/>
      <name val="MS Sans Serif"/>
      <family val="2"/>
    </font>
    <font>
      <sz val="9"/>
      <name val="Frutiger 45 Light"/>
      <family val="2"/>
    </font>
    <font>
      <b/>
      <sz val="10"/>
      <color indexed="16"/>
      <name val="Times New Roman"/>
      <family val="1"/>
    </font>
    <font>
      <sz val="9"/>
      <color indexed="18"/>
      <name val="Times New Roman"/>
      <family val="1"/>
    </font>
    <font>
      <b/>
      <sz val="10"/>
      <name val="Arial"/>
      <family val="2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color indexed="18"/>
      <name val="Verdana"/>
      <family val="2"/>
    </font>
    <font>
      <sz val="14"/>
      <color indexed="8"/>
      <name val="Times New Roman"/>
      <family val="1"/>
    </font>
    <font>
      <sz val="10"/>
      <color indexed="12"/>
      <name val="MS Sans Serif"/>
      <family val="2"/>
    </font>
    <font>
      <b/>
      <i/>
      <sz val="10"/>
      <name val="Times New Roman"/>
      <family val="1"/>
    </font>
    <font>
      <b/>
      <sz val="12"/>
      <name val="Helv"/>
    </font>
    <font>
      <b/>
      <sz val="8"/>
      <name val="MS Sans Serif"/>
      <family val="2"/>
    </font>
    <font>
      <b/>
      <sz val="10"/>
      <color indexed="10"/>
      <name val="MS Sans Serif"/>
      <family val="2"/>
    </font>
    <font>
      <sz val="26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b/>
      <sz val="11"/>
      <color indexed="18"/>
      <name val="Times New Roman"/>
      <family val="1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1"/>
      <color indexed="8"/>
      <name val="Calibri"/>
      <family val="2"/>
    </font>
    <font>
      <sz val="10"/>
      <name val="Courier"/>
      <family val="3"/>
    </font>
    <font>
      <sz val="10"/>
      <color indexed="8"/>
      <name val="MS Sans Serif"/>
      <family val="2"/>
    </font>
    <font>
      <b/>
      <sz val="10"/>
      <color indexed="30"/>
      <name val="Arial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22"/>
      <name val="UBSHeadline"/>
      <family val="1"/>
    </font>
    <font>
      <b/>
      <sz val="9"/>
      <name val="Helv"/>
      <family val="2"/>
    </font>
    <font>
      <b/>
      <sz val="10"/>
      <color indexed="8"/>
      <name val="Arial Narrow"/>
      <family val="2"/>
    </font>
    <font>
      <sz val="9"/>
      <color indexed="23"/>
      <name val="Times New Roman"/>
      <family val="1"/>
    </font>
    <font>
      <sz val="10"/>
      <name val="CG Omega"/>
      <family val="2"/>
    </font>
    <font>
      <b/>
      <sz val="14"/>
      <name val="Univers Condensed"/>
      <family val="2"/>
    </font>
    <font>
      <sz val="12"/>
      <name val="Univers Condensed"/>
      <family val="2"/>
    </font>
    <font>
      <sz val="11"/>
      <name val="Garamond"/>
      <family val="1"/>
    </font>
    <font>
      <sz val="14"/>
      <name val="Univers Condensed"/>
      <family val="2"/>
    </font>
    <font>
      <b/>
      <i/>
      <sz val="8"/>
      <name val="Times New Roman"/>
      <family val="1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2"/>
      <color indexed="8"/>
      <name val="Frutiger 45 Light"/>
      <family val="2"/>
    </font>
    <font>
      <b/>
      <sz val="12"/>
      <color indexed="8"/>
      <name val="Frutiger 45 Light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name val="Tms Rmn"/>
    </font>
    <font>
      <sz val="9"/>
      <color indexed="8"/>
      <name val="Times New Roman"/>
      <family val="1"/>
    </font>
    <font>
      <b/>
      <sz val="10"/>
      <color indexed="13"/>
      <name val="Times New Roman"/>
      <family val="1"/>
    </font>
    <font>
      <b/>
      <sz val="8"/>
      <color indexed="11"/>
      <name val="MS Sans Serif"/>
      <family val="2"/>
    </font>
    <font>
      <b/>
      <sz val="11"/>
      <color indexed="15"/>
      <name val="Times New Roman"/>
      <family val="1"/>
    </font>
    <font>
      <sz val="10"/>
      <name val="TimesNewRoman"/>
    </font>
    <font>
      <b/>
      <i/>
      <sz val="14"/>
      <name val="TimesNewRoman"/>
    </font>
    <font>
      <b/>
      <sz val="12"/>
      <name val="TimesNewRoman"/>
    </font>
    <font>
      <sz val="9"/>
      <name val="NewsGoth Lt BT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7.5"/>
      <name val="NewsGoth Lt BT"/>
      <family val="2"/>
    </font>
    <font>
      <b/>
      <sz val="9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color indexed="19"/>
      <name val="Times New Roman"/>
      <family val="1"/>
    </font>
    <font>
      <sz val="12"/>
      <color indexed="13"/>
      <name val="Helv"/>
    </font>
    <font>
      <b/>
      <i/>
      <sz val="20"/>
      <name val="Arial"/>
      <family val="2"/>
    </font>
    <font>
      <u/>
      <sz val="12"/>
      <name val="Univers Condensed"/>
      <family val="2"/>
    </font>
    <font>
      <b/>
      <sz val="10"/>
      <color indexed="9"/>
      <name val="Arial"/>
      <family val="2"/>
    </font>
    <font>
      <sz val="8"/>
      <color indexed="8"/>
      <name val="Arial"/>
      <family val="2"/>
    </font>
    <font>
      <b/>
      <sz val="8"/>
      <name val="Times New Roman"/>
      <family val="1"/>
    </font>
    <font>
      <b/>
      <sz val="9"/>
      <color indexed="17"/>
      <name val="Times New Roman"/>
      <family val="1"/>
    </font>
    <font>
      <sz val="10"/>
      <color theme="1"/>
      <name val="Calibri"/>
      <family val="2"/>
      <charset val="128"/>
      <scheme val="minor"/>
    </font>
    <font>
      <sz val="10"/>
      <name val="Calibri"/>
      <family val="2"/>
      <charset val="128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</patternFill>
    </fill>
    <fill>
      <patternFill patternType="gray0625">
        <fgColor indexed="10"/>
      </patternFill>
    </fill>
    <fill>
      <patternFill patternType="solid">
        <fgColor indexed="47"/>
      </patternFill>
    </fill>
    <fill>
      <patternFill patternType="solid"/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2"/>
      </patternFill>
    </fill>
    <fill>
      <patternFill patternType="solid">
        <fgColor indexed="13"/>
      </patternFill>
    </fill>
    <fill>
      <patternFill patternType="gray125">
        <fgColor indexed="21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</patternFill>
    </fill>
    <fill>
      <patternFill patternType="solid">
        <fgColor indexed="58"/>
        <bgColor indexed="64"/>
      </patternFill>
    </fill>
    <fill>
      <patternFill patternType="gray0625">
        <fgColor indexed="9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indexed="32"/>
        <bgColor indexed="12"/>
      </patternFill>
    </fill>
    <fill>
      <patternFill patternType="solid">
        <fgColor theme="1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4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rgb="FFC00000"/>
      </left>
      <right style="hair">
        <color rgb="FFC00000"/>
      </right>
      <top style="hair">
        <color rgb="FFC00000"/>
      </top>
      <bottom style="hair">
        <color rgb="FFC00000"/>
      </bottom>
      <diagonal/>
    </border>
  </borders>
  <cellStyleXfs count="2108">
    <xf numFmtId="0" fontId="0" fillId="0" borderId="0"/>
    <xf numFmtId="41" fontId="1" fillId="0" borderId="0" applyFont="0" applyFill="0" applyBorder="0" applyAlignment="0" applyProtection="0"/>
    <xf numFmtId="0" fontId="3" fillId="0" borderId="0"/>
    <xf numFmtId="0" fontId="4" fillId="0" borderId="0">
      <alignment vertical="top"/>
    </xf>
    <xf numFmtId="41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/>
    <xf numFmtId="9" fontId="3" fillId="0" borderId="0" applyFont="0" applyFill="0" applyBorder="0" applyAlignment="0" applyProtection="0"/>
    <xf numFmtId="0" fontId="6" fillId="0" borderId="0"/>
    <xf numFmtId="40" fontId="6" fillId="0" borderId="0" applyFont="0" applyFill="0" applyBorder="0" applyAlignment="0" applyProtection="0"/>
    <xf numFmtId="0" fontId="4" fillId="0" borderId="0">
      <alignment horizontal="left" wrapText="1"/>
    </xf>
    <xf numFmtId="38" fontId="6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6" fillId="0" borderId="0">
      <alignment vertical="center"/>
    </xf>
    <xf numFmtId="38" fontId="6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3" fillId="0" borderId="0"/>
    <xf numFmtId="0" fontId="4" fillId="0" borderId="0"/>
    <xf numFmtId="43" fontId="1" fillId="0" borderId="0" applyFon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5" fontId="13" fillId="0" borderId="0" applyFont="0" applyFill="0" applyBorder="0" applyAlignment="0" applyProtection="0"/>
    <xf numFmtId="8" fontId="13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5" fontId="14" fillId="0" borderId="0" applyFont="0" applyFill="0" applyBorder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170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16" fillId="0" borderId="0" applyNumberFormat="0" applyFill="0" applyBorder="0" applyAlignment="0" applyProtection="0"/>
    <xf numFmtId="0" fontId="4" fillId="5" borderId="0" applyNumberFormat="0" applyFont="0" applyAlignment="0" applyProtection="0"/>
    <xf numFmtId="0" fontId="4" fillId="5" borderId="0" applyNumberFormat="0" applyFont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5" fontId="4" fillId="0" borderId="0" applyFont="0" applyFill="0" applyBorder="0" applyProtection="0">
      <alignment horizontal="right"/>
    </xf>
    <xf numFmtId="175" fontId="4" fillId="0" borderId="0" applyFont="0" applyFill="0" applyBorder="0" applyProtection="0">
      <alignment horizontal="right"/>
    </xf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horizontal="left" wrapText="1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15" fillId="0" borderId="0">
      <alignment vertical="top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17" fillId="0" borderId="0" applyNumberFormat="0" applyFill="0" applyBorder="0" applyProtection="0">
      <alignment vertical="top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18" applyNumberFormat="0" applyFill="0" applyProtection="0">
      <alignment horizontal="center"/>
    </xf>
    <xf numFmtId="0" fontId="19" fillId="0" borderId="0" applyNumberFormat="0" applyFill="0" applyBorder="0" applyProtection="0">
      <alignment horizontal="left"/>
    </xf>
    <xf numFmtId="0" fontId="20" fillId="0" borderId="0" applyNumberFormat="0" applyFill="0" applyBorder="0" applyProtection="0">
      <alignment horizontal="centerContinuous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 applyNumberFormat="0" applyFill="0" applyBorder="0" applyAlignment="0" applyProtection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7" fontId="23" fillId="6" borderId="1">
      <protection locked="0"/>
    </xf>
    <xf numFmtId="41" fontId="24" fillId="0" borderId="12" applyFont="0" applyFill="0" applyBorder="0" applyAlignment="0"/>
    <xf numFmtId="42" fontId="25" fillId="0" borderId="0" applyFont="0"/>
    <xf numFmtId="42" fontId="25" fillId="0" borderId="7" applyFont="0"/>
    <xf numFmtId="42" fontId="25" fillId="0" borderId="7" applyFont="0"/>
    <xf numFmtId="42" fontId="25" fillId="0" borderId="7" applyFont="0"/>
    <xf numFmtId="41" fontId="25" fillId="0" borderId="0" applyFont="0"/>
    <xf numFmtId="41" fontId="25" fillId="0" borderId="0" applyFont="0"/>
    <xf numFmtId="0" fontId="26" fillId="7" borderId="0"/>
    <xf numFmtId="0" fontId="11" fillId="0" borderId="0"/>
    <xf numFmtId="0" fontId="27" fillId="8" borderId="0" applyNumberFormat="0" applyBorder="0">
      <alignment horizontal="left"/>
    </xf>
    <xf numFmtId="0" fontId="27" fillId="9" borderId="0" applyNumberFormat="0" applyBorder="0">
      <alignment horizontal="left"/>
    </xf>
    <xf numFmtId="0" fontId="27" fillId="9" borderId="0" applyNumberFormat="0" applyBorder="0">
      <alignment horizontal="left"/>
    </xf>
    <xf numFmtId="176" fontId="10" fillId="0" borderId="0" applyFont="0" applyFill="0" applyBorder="0" applyAlignment="0" applyProtection="0"/>
    <xf numFmtId="0" fontId="28" fillId="0" borderId="15" applyNumberFormat="0" applyFill="0" applyAlignment="0" applyProtection="0"/>
    <xf numFmtId="0" fontId="29" fillId="0" borderId="6" applyNumberFormat="0" applyFont="0" applyFill="0" applyAlignment="0" applyProtection="0"/>
    <xf numFmtId="0" fontId="29" fillId="0" borderId="19" applyNumberFormat="0" applyFont="0" applyFill="0" applyAlignment="0" applyProtection="0"/>
    <xf numFmtId="0" fontId="13" fillId="0" borderId="15" applyNumberFormat="0" applyFont="0" applyFill="0" applyAlignment="0" applyProtection="0"/>
    <xf numFmtId="0" fontId="13" fillId="0" borderId="3" applyNumberFormat="0" applyFont="0" applyFill="0" applyAlignment="0" applyProtection="0"/>
    <xf numFmtId="0" fontId="13" fillId="0" borderId="4" applyNumberFormat="0" applyFont="0" applyFill="0" applyAlignment="0" applyProtection="0"/>
    <xf numFmtId="0" fontId="13" fillId="0" borderId="13" applyNumberFormat="0" applyFont="0" applyFill="0" applyAlignment="0" applyProtection="0"/>
    <xf numFmtId="177" fontId="30" fillId="0" borderId="6" applyNumberFormat="0" applyFill="0" applyAlignment="0" applyProtection="0">
      <alignment horizontal="center"/>
    </xf>
    <xf numFmtId="178" fontId="30" fillId="0" borderId="15" applyFill="0" applyAlignment="0" applyProtection="0">
      <alignment horizontal="center"/>
    </xf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1" fillId="0" borderId="0" applyFill="0" applyBorder="0" applyAlignment="0"/>
    <xf numFmtId="0" fontId="31" fillId="0" borderId="0" applyFill="0" applyBorder="0" applyAlignment="0"/>
    <xf numFmtId="179" fontId="31" fillId="0" borderId="0" applyFill="0" applyBorder="0" applyAlignment="0"/>
    <xf numFmtId="180" fontId="31" fillId="0" borderId="0" applyFill="0" applyBorder="0" applyAlignment="0"/>
    <xf numFmtId="181" fontId="4" fillId="0" borderId="0" applyFill="0" applyBorder="0" applyAlignment="0"/>
    <xf numFmtId="181" fontId="4" fillId="0" borderId="0" applyFill="0" applyBorder="0" applyAlignment="0"/>
    <xf numFmtId="181" fontId="4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4" fillId="0" borderId="0" applyNumberFormat="0" applyFont="0" applyBorder="0" applyAlignment="0"/>
    <xf numFmtId="0" fontId="4" fillId="0" borderId="0" applyNumberFormat="0" applyFont="0" applyBorder="0" applyAlignment="0"/>
    <xf numFmtId="44" fontId="32" fillId="0" borderId="0" applyFill="0" applyBorder="0" applyProtection="0"/>
    <xf numFmtId="0" fontId="33" fillId="0" borderId="0" applyFill="0" applyBorder="0" applyProtection="0">
      <alignment horizontal="right" wrapText="1"/>
    </xf>
    <xf numFmtId="0" fontId="34" fillId="0" borderId="0" applyNumberFormat="0" applyFill="0" applyBorder="0" applyProtection="0"/>
    <xf numFmtId="43" fontId="32" fillId="0" borderId="0" applyFill="0" applyBorder="0" applyProtection="0"/>
    <xf numFmtId="182" fontId="35" fillId="0" borderId="0" applyFill="0" applyBorder="0" applyProtection="0">
      <alignment horizontal="left"/>
    </xf>
    <xf numFmtId="182" fontId="35" fillId="0" borderId="0" applyNumberFormat="0" applyFill="0" applyBorder="0" applyProtection="0">
      <alignment horizontal="left"/>
    </xf>
    <xf numFmtId="182" fontId="36" fillId="0" borderId="0" applyFill="0" applyBorder="0" applyProtection="0">
      <alignment horizontal="left"/>
    </xf>
    <xf numFmtId="0" fontId="37" fillId="0" borderId="0" applyFill="0" applyBorder="0" applyProtection="0">
      <alignment horizontal="center" vertical="center"/>
    </xf>
    <xf numFmtId="0" fontId="37" fillId="0" borderId="0" applyFill="0" applyBorder="0" applyProtection="0">
      <alignment horizontal="center" vertical="center"/>
    </xf>
    <xf numFmtId="0" fontId="37" fillId="0" borderId="0" applyFill="0" applyBorder="0" applyProtection="0">
      <alignment horizontal="center" vertical="center"/>
    </xf>
    <xf numFmtId="183" fontId="30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0" fontId="31" fillId="0" borderId="0" applyFont="0" applyFill="0" applyBorder="0" applyAlignment="0" applyProtection="0"/>
    <xf numFmtId="0" fontId="38" fillId="0" borderId="0" applyFont="0" applyFill="0" applyBorder="0" applyAlignment="0" applyProtection="0">
      <alignment horizontal="right"/>
    </xf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8" fillId="0" borderId="0" applyFont="0" applyFill="0" applyBorder="0" applyAlignment="0" applyProtection="0">
      <alignment horizontal="right"/>
    </xf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40" fillId="0" borderId="0"/>
    <xf numFmtId="0" fontId="41" fillId="0" borderId="0"/>
    <xf numFmtId="3" fontId="4" fillId="0" borderId="0" applyFont="0" applyFill="0" applyBorder="0" applyAlignment="0" applyProtection="0"/>
    <xf numFmtId="0" fontId="40" fillId="0" borderId="0"/>
    <xf numFmtId="0" fontId="41" fillId="0" borderId="0"/>
    <xf numFmtId="0" fontId="42" fillId="0" borderId="0" applyFill="0" applyBorder="0" applyAlignment="0" applyProtection="0"/>
    <xf numFmtId="0" fontId="42" fillId="0" borderId="0" applyFill="0" applyBorder="0" applyAlignment="0" applyProtection="0"/>
    <xf numFmtId="0" fontId="42" fillId="0" borderId="0" applyFill="0" applyBorder="0" applyAlignment="0" applyProtection="0"/>
    <xf numFmtId="185" fontId="43" fillId="0" borderId="0" applyFill="0" applyBorder="0">
      <alignment horizontal="left"/>
    </xf>
    <xf numFmtId="185" fontId="43" fillId="0" borderId="0" applyFill="0" applyBorder="0">
      <alignment horizontal="left"/>
    </xf>
    <xf numFmtId="185" fontId="43" fillId="0" borderId="0" applyFill="0" applyBorder="0">
      <alignment horizontal="left"/>
    </xf>
    <xf numFmtId="42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8" fillId="0" borderId="0" applyFont="0" applyFill="0" applyBorder="0" applyAlignment="0" applyProtection="0">
      <alignment horizontal="right"/>
    </xf>
    <xf numFmtId="0" fontId="38" fillId="0" borderId="0" applyFont="0" applyFill="0" applyBorder="0" applyAlignment="0" applyProtection="0">
      <alignment horizontal="right"/>
    </xf>
    <xf numFmtId="5" fontId="4" fillId="0" borderId="0" applyFont="0" applyFill="0" applyBorder="0" applyAlignment="0" applyProtection="0"/>
    <xf numFmtId="5" fontId="4" fillId="0" borderId="0" applyFont="0" applyFill="0" applyBorder="0" applyAlignment="0" applyProtection="0"/>
    <xf numFmtId="186" fontId="44" fillId="0" borderId="0" applyFont="0" applyAlignment="0"/>
    <xf numFmtId="0" fontId="45" fillId="0" borderId="0" applyNumberFormat="0" applyBorder="0">
      <alignment horizontal="center"/>
    </xf>
    <xf numFmtId="0" fontId="45" fillId="0" borderId="0" applyNumberFormat="0" applyBorder="0">
      <alignment horizontal="center"/>
    </xf>
    <xf numFmtId="0" fontId="45" fillId="0" borderId="0" applyNumberFormat="0" applyBorder="0">
      <alignment horizontal="center"/>
    </xf>
    <xf numFmtId="0" fontId="46" fillId="0" borderId="0"/>
    <xf numFmtId="166" fontId="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46" fillId="0" borderId="20"/>
    <xf numFmtId="17" fontId="47" fillId="10" borderId="21">
      <alignment horizontal="centerContinuous"/>
    </xf>
    <xf numFmtId="17" fontId="48" fillId="10" borderId="21">
      <alignment horizontal="centerContinuous"/>
    </xf>
    <xf numFmtId="0" fontId="38" fillId="0" borderId="0" applyFont="0" applyFill="0" applyBorder="0" applyAlignment="0" applyProtection="0"/>
    <xf numFmtId="14" fontId="15" fillId="0" borderId="0" applyFill="0" applyBorder="0" applyAlignment="0"/>
    <xf numFmtId="17" fontId="47" fillId="10" borderId="21">
      <alignment horizontal="centerContinuous"/>
    </xf>
    <xf numFmtId="14" fontId="4" fillId="0" borderId="0"/>
    <xf numFmtId="14" fontId="4" fillId="0" borderId="0"/>
    <xf numFmtId="14" fontId="4" fillId="0" borderId="0"/>
    <xf numFmtId="187" fontId="11" fillId="0" borderId="3" applyFill="0" applyProtection="0">
      <alignment horizontal="centerContinuous"/>
    </xf>
    <xf numFmtId="187" fontId="11" fillId="0" borderId="0" applyFill="0" applyProtection="0">
      <alignment horizontal="center"/>
    </xf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188" fontId="4" fillId="0" borderId="0"/>
    <xf numFmtId="188" fontId="4" fillId="0" borderId="0"/>
    <xf numFmtId="188" fontId="4" fillId="0" borderId="0"/>
    <xf numFmtId="0" fontId="38" fillId="0" borderId="22" applyNumberFormat="0" applyFont="0" applyFill="0" applyAlignment="0" applyProtection="0"/>
    <xf numFmtId="0" fontId="31" fillId="11" borderId="1">
      <protection locked="0"/>
    </xf>
    <xf numFmtId="0" fontId="50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9" fontId="51" fillId="0" borderId="1" applyNumberFormat="0" applyBorder="0" applyAlignment="0">
      <protection locked="0"/>
    </xf>
    <xf numFmtId="0" fontId="31" fillId="3" borderId="1">
      <protection hidden="1"/>
    </xf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38" fontId="29" fillId="0" borderId="0"/>
    <xf numFmtId="190" fontId="4" fillId="0" borderId="0"/>
    <xf numFmtId="190" fontId="4" fillId="0" borderId="0"/>
    <xf numFmtId="190" fontId="4" fillId="0" borderId="0"/>
    <xf numFmtId="0" fontId="29" fillId="0" borderId="0" applyFill="0" applyBorder="0" applyProtection="0">
      <alignment horizontal="left"/>
    </xf>
    <xf numFmtId="0" fontId="52" fillId="12" borderId="0" applyNumberFormat="0" applyFont="0" applyBorder="0" applyAlignment="0"/>
    <xf numFmtId="0" fontId="31" fillId="12" borderId="0" applyNumberFormat="0" applyFont="0" applyBorder="0" applyAlignment="0"/>
    <xf numFmtId="191" fontId="30" fillId="0" borderId="0">
      <alignment horizontal="right"/>
    </xf>
    <xf numFmtId="191" fontId="30" fillId="0" borderId="0">
      <alignment horizontal="right"/>
    </xf>
    <xf numFmtId="191" fontId="30" fillId="0" borderId="0">
      <alignment horizontal="right"/>
    </xf>
    <xf numFmtId="41" fontId="4" fillId="0" borderId="0" applyAlignment="0"/>
    <xf numFmtId="0" fontId="53" fillId="0" borderId="0">
      <alignment horizontal="centerContinuous" vertical="center"/>
    </xf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" fontId="54" fillId="0" borderId="23">
      <alignment horizontal="left"/>
    </xf>
    <xf numFmtId="0" fontId="41" fillId="0" borderId="0" applyFont="0" applyFill="0" applyBorder="0" applyAlignment="0" applyProtection="0"/>
    <xf numFmtId="38" fontId="24" fillId="13" borderId="0" applyNumberFormat="0" applyBorder="0" applyAlignment="0" applyProtection="0"/>
    <xf numFmtId="0" fontId="55" fillId="14" borderId="24" applyAlignment="0" applyProtection="0"/>
    <xf numFmtId="0" fontId="38" fillId="0" borderId="0" applyFont="0" applyFill="0" applyBorder="0" applyAlignment="0" applyProtection="0">
      <alignment horizontal="right"/>
    </xf>
    <xf numFmtId="0" fontId="56" fillId="0" borderId="0" applyProtection="0">
      <alignment horizontal="right"/>
    </xf>
    <xf numFmtId="0" fontId="57" fillId="0" borderId="9" applyNumberFormat="0" applyAlignment="0" applyProtection="0">
      <alignment horizontal="left" vertical="center"/>
    </xf>
    <xf numFmtId="0" fontId="57" fillId="0" borderId="24">
      <alignment horizontal="left" vertical="center"/>
    </xf>
    <xf numFmtId="0" fontId="58" fillId="15" borderId="0"/>
    <xf numFmtId="49" fontId="59" fillId="0" borderId="0">
      <alignment horizontal="centerContinuous"/>
    </xf>
    <xf numFmtId="0" fontId="37" fillId="0" borderId="0" applyFill="0" applyAlignment="0" applyProtection="0"/>
    <xf numFmtId="0" fontId="37" fillId="0" borderId="0" applyFill="0" applyAlignment="0" applyProtection="0"/>
    <xf numFmtId="0" fontId="37" fillId="0" borderId="0" applyFill="0" applyAlignment="0" applyProtection="0"/>
    <xf numFmtId="0" fontId="37" fillId="0" borderId="15" applyFill="0" applyAlignment="0" applyProtection="0"/>
    <xf numFmtId="0" fontId="37" fillId="0" borderId="15" applyFill="0" applyAlignment="0" applyProtection="0"/>
    <xf numFmtId="0" fontId="37" fillId="0" borderId="15" applyFill="0" applyAlignment="0" applyProtection="0"/>
    <xf numFmtId="192" fontId="25" fillId="0" borderId="0">
      <alignment horizontal="centerContinuous"/>
    </xf>
    <xf numFmtId="192" fontId="25" fillId="0" borderId="25">
      <alignment horizontal="center"/>
    </xf>
    <xf numFmtId="10" fontId="24" fillId="2" borderId="1" applyNumberFormat="0" applyBorder="0" applyAlignment="0" applyProtection="0"/>
    <xf numFmtId="10" fontId="60" fillId="0" borderId="0">
      <protection locked="0"/>
    </xf>
    <xf numFmtId="15" fontId="60" fillId="0" borderId="0">
      <protection locked="0"/>
    </xf>
    <xf numFmtId="2" fontId="60" fillId="0" borderId="5">
      <protection locked="0"/>
    </xf>
    <xf numFmtId="0" fontId="60" fillId="0" borderId="0">
      <protection locked="0"/>
    </xf>
    <xf numFmtId="193" fontId="4" fillId="0" borderId="0"/>
    <xf numFmtId="193" fontId="4" fillId="0" borderId="0"/>
    <xf numFmtId="193" fontId="4" fillId="0" borderId="0"/>
    <xf numFmtId="0" fontId="61" fillId="0" borderId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2" fillId="16" borderId="20"/>
    <xf numFmtId="0" fontId="63" fillId="0" borderId="0" applyNumberFormat="0" applyFill="0" applyBorder="0">
      <alignment horizontal="right"/>
    </xf>
    <xf numFmtId="0" fontId="63" fillId="0" borderId="0" applyNumberFormat="0" applyFill="0" applyBorder="0">
      <alignment horizontal="right"/>
    </xf>
    <xf numFmtId="0" fontId="63" fillId="0" borderId="0" applyNumberFormat="0" applyFill="0" applyBorder="0">
      <alignment horizontal="right"/>
    </xf>
    <xf numFmtId="0" fontId="64" fillId="0" borderId="0">
      <protection locked="0"/>
    </xf>
    <xf numFmtId="38" fontId="29" fillId="0" borderId="0">
      <alignment horizontal="right"/>
    </xf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17" fontId="68" fillId="0" borderId="26" applyAlignment="0" applyProtection="0">
      <alignment horizontal="centerContinuous"/>
    </xf>
    <xf numFmtId="41" fontId="4" fillId="0" borderId="0" applyFont="0" applyFill="0" applyBorder="0" applyAlignment="0" applyProtection="0"/>
    <xf numFmtId="194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4" fontId="13" fillId="0" borderId="0" applyFont="0" applyFill="0" applyBorder="0" applyAlignment="0" applyProtection="0"/>
    <xf numFmtId="198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200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38" fillId="0" borderId="0" applyFont="0" applyFill="0" applyBorder="0" applyAlignment="0" applyProtection="0">
      <alignment horizontal="right"/>
    </xf>
    <xf numFmtId="0" fontId="30" fillId="0" borderId="0" applyNumberFormat="0" applyFill="0" applyAlignment="0" applyProtection="0"/>
    <xf numFmtId="37" fontId="69" fillId="0" borderId="0"/>
    <xf numFmtId="202" fontId="70" fillId="0" borderId="0"/>
    <xf numFmtId="0" fontId="46" fillId="0" borderId="0"/>
    <xf numFmtId="0" fontId="46" fillId="0" borderId="0"/>
    <xf numFmtId="0" fontId="4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0" fontId="39" fillId="0" borderId="0"/>
    <xf numFmtId="0" fontId="4" fillId="0" borderId="0"/>
    <xf numFmtId="0" fontId="4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" fillId="0" borderId="0"/>
    <xf numFmtId="1" fontId="72" fillId="0" borderId="0" applyFont="0" applyFill="0" applyBorder="0" applyAlignment="0" applyProtection="0"/>
    <xf numFmtId="1" fontId="72" fillId="0" borderId="0" applyFont="0" applyFill="0" applyBorder="0" applyAlignment="0" applyProtection="0"/>
    <xf numFmtId="0" fontId="73" fillId="0" borderId="0"/>
    <xf numFmtId="40" fontId="10" fillId="0" borderId="0">
      <alignment horizontal="right" vertical="top"/>
      <protection locked="0"/>
    </xf>
    <xf numFmtId="37" fontId="4" fillId="0" borderId="0"/>
    <xf numFmtId="37" fontId="4" fillId="0" borderId="0"/>
    <xf numFmtId="37" fontId="4" fillId="0" borderId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" fontId="74" fillId="0" borderId="14" applyBorder="0">
      <alignment horizontal="center" vertical="center"/>
    </xf>
    <xf numFmtId="203" fontId="4" fillId="0" borderId="0"/>
    <xf numFmtId="49" fontId="57" fillId="0" borderId="0"/>
    <xf numFmtId="49" fontId="57" fillId="0" borderId="15"/>
    <xf numFmtId="183" fontId="30" fillId="0" borderId="0"/>
    <xf numFmtId="0" fontId="75" fillId="0" borderId="0" applyFill="0" applyBorder="0" applyProtection="0">
      <alignment horizontal="left"/>
    </xf>
    <xf numFmtId="0" fontId="76" fillId="0" borderId="0" applyFill="0" applyBorder="0" applyProtection="0">
      <alignment horizontal="left"/>
    </xf>
    <xf numFmtId="1" fontId="77" fillId="0" borderId="0" applyProtection="0">
      <alignment horizontal="right" vertical="center"/>
    </xf>
    <xf numFmtId="0" fontId="55" fillId="0" borderId="0" applyFill="0" applyBorder="0" applyAlignment="0" applyProtection="0"/>
    <xf numFmtId="49" fontId="78" fillId="0" borderId="15" applyFill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204" fontId="11" fillId="0" borderId="0" applyFont="0" applyFill="0" applyBorder="0" applyAlignment="0" applyProtection="0"/>
    <xf numFmtId="204" fontId="11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9" fillId="0" borderId="0" applyFont="0" applyFill="0" applyBorder="0" applyAlignment="0" applyProtection="0"/>
    <xf numFmtId="205" fontId="29" fillId="0" borderId="0" applyFont="0" applyFill="0" applyBorder="0" applyProtection="0">
      <alignment horizontal="right"/>
    </xf>
    <xf numFmtId="205" fontId="29" fillId="0" borderId="0" applyFont="0" applyFill="0" applyBorder="0" applyProtection="0">
      <alignment horizontal="right"/>
    </xf>
    <xf numFmtId="10" fontId="72" fillId="0" borderId="0" applyFont="0" applyFill="0" applyBorder="0" applyAlignment="0" applyProtection="0"/>
    <xf numFmtId="10" fontId="72" fillId="0" borderId="0" applyFont="0" applyFill="0" applyBorder="0" applyAlignment="0" applyProtection="0"/>
    <xf numFmtId="9" fontId="4" fillId="0" borderId="0"/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2" fontId="79" fillId="17" borderId="3" applyBorder="0" applyAlignment="0" applyProtection="0">
      <alignment horizontal="centerContinuous"/>
    </xf>
    <xf numFmtId="0" fontId="80" fillId="13" borderId="0"/>
    <xf numFmtId="10" fontId="81" fillId="0" borderId="0"/>
    <xf numFmtId="44" fontId="82" fillId="0" borderId="0" applyFill="0" applyBorder="0" applyProtection="0"/>
    <xf numFmtId="0" fontId="83" fillId="0" borderId="0" applyNumberFormat="0" applyFill="0" applyBorder="0" applyProtection="0"/>
    <xf numFmtId="43" fontId="82" fillId="0" borderId="0" applyFill="0" applyBorder="0" applyProtection="0"/>
    <xf numFmtId="49" fontId="84" fillId="0" borderId="0" applyFill="0" applyBorder="0" applyProtection="0"/>
    <xf numFmtId="182" fontId="84" fillId="0" borderId="0" applyNumberFormat="0" applyFill="0" applyBorder="0" applyProtection="0">
      <alignment horizontal="left"/>
    </xf>
    <xf numFmtId="182" fontId="85" fillId="0" borderId="0" applyFill="0" applyBorder="0" applyProtection="0">
      <alignment horizontal="left"/>
    </xf>
    <xf numFmtId="182" fontId="85" fillId="0" borderId="0" applyNumberFormat="0" applyFill="0" applyBorder="0" applyProtection="0">
      <alignment horizontal="left" vertical="top"/>
    </xf>
    <xf numFmtId="0" fontId="85" fillId="0" borderId="0" applyNumberFormat="0" applyFill="0" applyBorder="0" applyProtection="0">
      <alignment wrapText="1"/>
    </xf>
    <xf numFmtId="0" fontId="86" fillId="0" borderId="0" applyNumberFormat="0" applyFill="0" applyBorder="0" applyProtection="0"/>
    <xf numFmtId="0" fontId="46" fillId="0" borderId="0"/>
    <xf numFmtId="0" fontId="73" fillId="0" borderId="4" applyNumberFormat="0" applyBorder="0"/>
    <xf numFmtId="42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38" fontId="23" fillId="0" borderId="0"/>
    <xf numFmtId="38" fontId="87" fillId="0" borderId="0">
      <alignment horizontal="center"/>
    </xf>
    <xf numFmtId="0" fontId="26" fillId="18" borderId="0"/>
    <xf numFmtId="4" fontId="88" fillId="3" borderId="27" applyNumberFormat="0" applyProtection="0">
      <alignment vertical="center"/>
    </xf>
    <xf numFmtId="4" fontId="89" fillId="3" borderId="27" applyNumberFormat="0" applyProtection="0">
      <alignment vertical="center"/>
    </xf>
    <xf numFmtId="4" fontId="90" fillId="3" borderId="27" applyNumberFormat="0" applyProtection="0">
      <alignment horizontal="left" vertical="center" indent="1"/>
    </xf>
    <xf numFmtId="4" fontId="91" fillId="19" borderId="0" applyNumberFormat="0" applyProtection="0">
      <alignment horizontal="left" vertical="center" indent="1"/>
    </xf>
    <xf numFmtId="4" fontId="90" fillId="20" borderId="27" applyNumberFormat="0" applyProtection="0">
      <alignment horizontal="right" vertical="center"/>
    </xf>
    <xf numFmtId="4" fontId="90" fillId="21" borderId="27" applyNumberFormat="0" applyProtection="0">
      <alignment horizontal="right" vertical="center"/>
    </xf>
    <xf numFmtId="4" fontId="90" fillId="22" borderId="27" applyNumberFormat="0" applyProtection="0">
      <alignment horizontal="right" vertical="center"/>
    </xf>
    <xf numFmtId="4" fontId="90" fillId="11" borderId="27" applyNumberFormat="0" applyProtection="0">
      <alignment horizontal="right" vertical="center"/>
    </xf>
    <xf numFmtId="4" fontId="90" fillId="23" borderId="27" applyNumberFormat="0" applyProtection="0">
      <alignment horizontal="right" vertical="center"/>
    </xf>
    <xf numFmtId="4" fontId="90" fillId="24" borderId="27" applyNumberFormat="0" applyProtection="0">
      <alignment horizontal="right" vertical="center"/>
    </xf>
    <xf numFmtId="4" fontId="90" fillId="25" borderId="27" applyNumberFormat="0" applyProtection="0">
      <alignment horizontal="right" vertical="center"/>
    </xf>
    <xf numFmtId="4" fontId="90" fillId="26" borderId="27" applyNumberFormat="0" applyProtection="0">
      <alignment horizontal="right" vertical="center"/>
    </xf>
    <xf numFmtId="4" fontId="90" fillId="27" borderId="27" applyNumberFormat="0" applyProtection="0">
      <alignment horizontal="right" vertical="center"/>
    </xf>
    <xf numFmtId="4" fontId="92" fillId="28" borderId="28" applyNumberFormat="0" applyProtection="0">
      <alignment horizontal="left" vertical="center" indent="1"/>
    </xf>
    <xf numFmtId="4" fontId="92" fillId="29" borderId="0" applyNumberFormat="0" applyProtection="0">
      <alignment horizontal="left" vertical="center" indent="1"/>
    </xf>
    <xf numFmtId="4" fontId="88" fillId="19" borderId="0" applyNumberFormat="0" applyProtection="0">
      <alignment horizontal="left" vertical="center" indent="1"/>
    </xf>
    <xf numFmtId="4" fontId="90" fillId="29" borderId="27" applyNumberFormat="0" applyProtection="0">
      <alignment horizontal="right" vertical="center"/>
    </xf>
    <xf numFmtId="4" fontId="93" fillId="29" borderId="0" applyNumberFormat="0" applyProtection="0">
      <alignment horizontal="left" vertical="center" indent="1"/>
    </xf>
    <xf numFmtId="4" fontId="93" fillId="19" borderId="0" applyNumberFormat="0" applyProtection="0">
      <alignment horizontal="left" vertical="center" indent="1"/>
    </xf>
    <xf numFmtId="0" fontId="4" fillId="19" borderId="27" applyNumberFormat="0" applyProtection="0">
      <alignment horizontal="left" vertical="center" indent="1"/>
    </xf>
    <xf numFmtId="0" fontId="4" fillId="30" borderId="27" applyNumberFormat="0" applyProtection="0">
      <alignment horizontal="left" vertical="center" indent="1"/>
    </xf>
    <xf numFmtId="0" fontId="4" fillId="29" borderId="27" applyNumberFormat="0" applyProtection="0">
      <alignment horizontal="left" vertical="center" indent="1"/>
    </xf>
    <xf numFmtId="0" fontId="4" fillId="31" borderId="27" applyNumberFormat="0" applyProtection="0">
      <alignment horizontal="left" vertical="center" indent="1"/>
    </xf>
    <xf numFmtId="4" fontId="90" fillId="31" borderId="27" applyNumberFormat="0" applyProtection="0">
      <alignment vertical="center"/>
    </xf>
    <xf numFmtId="4" fontId="94" fillId="31" borderId="27" applyNumberFormat="0" applyProtection="0">
      <alignment vertical="center"/>
    </xf>
    <xf numFmtId="4" fontId="88" fillId="29" borderId="29" applyNumberFormat="0" applyProtection="0">
      <alignment horizontal="left" vertical="center" indent="1"/>
    </xf>
    <xf numFmtId="4" fontId="91" fillId="31" borderId="27" applyNumberFormat="0" applyProtection="0">
      <alignment horizontal="right" vertical="center"/>
    </xf>
    <xf numFmtId="4" fontId="94" fillId="31" borderId="27" applyNumberFormat="0" applyProtection="0">
      <alignment horizontal="right" vertical="center"/>
    </xf>
    <xf numFmtId="4" fontId="92" fillId="29" borderId="27" applyNumberFormat="0" applyProtection="0">
      <alignment horizontal="left" vertical="center" indent="1"/>
    </xf>
    <xf numFmtId="0" fontId="15" fillId="30" borderId="27" applyNumberFormat="0" applyProtection="0">
      <alignment horizontal="left" vertical="top" indent="1"/>
    </xf>
    <xf numFmtId="4" fontId="95" fillId="30" borderId="29" applyNumberFormat="0" applyProtection="0">
      <alignment horizontal="left" vertical="center" indent="1"/>
    </xf>
    <xf numFmtId="4" fontId="96" fillId="31" borderId="27" applyNumberFormat="0" applyProtection="0">
      <alignment horizontal="right" vertical="center"/>
    </xf>
    <xf numFmtId="0" fontId="97" fillId="0" borderId="30"/>
    <xf numFmtId="206" fontId="24" fillId="0" borderId="10" applyFont="0" applyFill="0" applyBorder="0" applyAlignment="0" applyProtection="0"/>
    <xf numFmtId="206" fontId="24" fillId="0" borderId="10" applyFont="0" applyFill="0" applyBorder="0" applyAlignment="0" applyProtection="0"/>
    <xf numFmtId="0" fontId="10" fillId="32" borderId="0" applyNumberFormat="0" applyFont="0" applyBorder="0" applyAlignment="0" applyProtection="0"/>
    <xf numFmtId="207" fontId="98" fillId="0" borderId="0" applyFont="0" applyFill="0" applyBorder="0" applyAlignment="0" applyProtection="0"/>
    <xf numFmtId="207" fontId="98" fillId="0" borderId="0" applyFont="0" applyFill="0" applyBorder="0" applyAlignment="0" applyProtection="0"/>
    <xf numFmtId="2" fontId="99" fillId="33" borderId="31" applyBorder="0">
      <alignment horizontal="center" vertical="center"/>
    </xf>
    <xf numFmtId="0" fontId="30" fillId="0" borderId="15" applyNumberFormat="0" applyFill="0" applyAlignment="0" applyProtection="0"/>
    <xf numFmtId="0" fontId="24" fillId="31" borderId="0" applyNumberFormat="0" applyFont="0" applyBorder="0" applyAlignment="0">
      <alignment vertical="center"/>
      <protection locked="0"/>
    </xf>
    <xf numFmtId="0" fontId="4" fillId="34" borderId="0"/>
    <xf numFmtId="0" fontId="100" fillId="0" borderId="0" applyNumberFormat="0" applyBorder="0">
      <alignment horizontal="left"/>
    </xf>
    <xf numFmtId="0" fontId="100" fillId="0" borderId="0" applyNumberFormat="0" applyBorder="0">
      <alignment horizontal="left"/>
    </xf>
    <xf numFmtId="0" fontId="100" fillId="0" borderId="0" applyNumberFormat="0" applyBorder="0">
      <alignment horizontal="left"/>
    </xf>
    <xf numFmtId="1" fontId="101" fillId="35" borderId="13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8" fontId="102" fillId="0" borderId="0"/>
    <xf numFmtId="0" fontId="21" fillId="0" borderId="0"/>
    <xf numFmtId="0" fontId="21" fillId="0" borderId="0"/>
    <xf numFmtId="0" fontId="21" fillId="0" borderId="0"/>
    <xf numFmtId="0" fontId="103" fillId="0" borderId="0"/>
    <xf numFmtId="0" fontId="21" fillId="0" borderId="0"/>
    <xf numFmtId="0" fontId="21" fillId="0" borderId="0"/>
    <xf numFmtId="0" fontId="21" fillId="0" borderId="0"/>
    <xf numFmtId="0" fontId="104" fillId="0" borderId="0"/>
    <xf numFmtId="0" fontId="21" fillId="0" borderId="0"/>
    <xf numFmtId="0" fontId="21" fillId="0" borderId="0"/>
    <xf numFmtId="0" fontId="21" fillId="0" borderId="0"/>
    <xf numFmtId="0" fontId="102" fillId="0" borderId="0"/>
    <xf numFmtId="0" fontId="21" fillId="0" borderId="0"/>
    <xf numFmtId="0" fontId="21" fillId="0" borderId="0"/>
    <xf numFmtId="0" fontId="21" fillId="0" borderId="0"/>
    <xf numFmtId="209" fontId="102" fillId="0" borderId="0"/>
    <xf numFmtId="0" fontId="76" fillId="0" borderId="0"/>
    <xf numFmtId="0" fontId="76" fillId="0" borderId="0"/>
    <xf numFmtId="0" fontId="76" fillId="0" borderId="0"/>
    <xf numFmtId="0" fontId="105" fillId="0" borderId="32" applyNumberFormat="0" applyAlignment="0" applyProtection="0"/>
    <xf numFmtId="0" fontId="106" fillId="0" borderId="32" applyNumberFormat="0" applyAlignment="0" applyProtection="0">
      <alignment horizontal="left" vertical="top"/>
    </xf>
    <xf numFmtId="0" fontId="107" fillId="0" borderId="0" applyNumberFormat="0" applyProtection="0">
      <alignment horizontal="left" vertical="top"/>
    </xf>
    <xf numFmtId="0" fontId="4" fillId="0" borderId="0" applyNumberFormat="0" applyFont="0" applyAlignment="0" applyProtection="0"/>
    <xf numFmtId="0" fontId="4" fillId="0" borderId="0" applyNumberFormat="0" applyFont="0" applyAlignment="0" applyProtection="0"/>
    <xf numFmtId="0" fontId="107" fillId="0" borderId="0" applyNumberFormat="0" applyFill="0" applyBorder="0" applyProtection="0"/>
    <xf numFmtId="0" fontId="108" fillId="0" borderId="0" applyNumberFormat="0" applyFill="0" applyBorder="0" applyProtection="0">
      <alignment vertical="top"/>
    </xf>
    <xf numFmtId="0" fontId="109" fillId="0" borderId="24" applyNumberFormat="0" applyProtection="0">
      <alignment horizontal="left" vertical="top"/>
    </xf>
    <xf numFmtId="0" fontId="109" fillId="0" borderId="24" applyNumberFormat="0" applyProtection="0">
      <alignment horizontal="right" vertical="top"/>
    </xf>
    <xf numFmtId="0" fontId="106" fillId="0" borderId="0" applyNumberFormat="0" applyProtection="0">
      <alignment horizontal="left" vertical="top"/>
    </xf>
    <xf numFmtId="0" fontId="106" fillId="0" borderId="0" applyNumberFormat="0" applyProtection="0">
      <alignment horizontal="right" vertical="top"/>
    </xf>
    <xf numFmtId="0" fontId="105" fillId="0" borderId="0" applyNumberFormat="0" applyProtection="0">
      <alignment horizontal="left" vertical="top"/>
    </xf>
    <xf numFmtId="0" fontId="105" fillId="0" borderId="0" applyNumberFormat="0" applyProtection="0">
      <alignment horizontal="right" vertical="top"/>
    </xf>
    <xf numFmtId="0" fontId="4" fillId="0" borderId="33" applyNumberFormat="0" applyFont="0" applyAlignment="0" applyProtection="0"/>
    <xf numFmtId="0" fontId="4" fillId="0" borderId="33" applyNumberFormat="0" applyFont="0" applyAlignment="0" applyProtection="0"/>
    <xf numFmtId="0" fontId="4" fillId="0" borderId="33" applyNumberFormat="0" applyFont="0" applyAlignment="0" applyProtection="0"/>
    <xf numFmtId="0" fontId="4" fillId="0" borderId="34" applyNumberFormat="0" applyFont="0" applyAlignment="0" applyProtection="0"/>
    <xf numFmtId="0" fontId="4" fillId="0" borderId="34" applyNumberFormat="0" applyFont="0" applyAlignment="0" applyProtection="0"/>
    <xf numFmtId="0" fontId="4" fillId="0" borderId="34" applyNumberFormat="0" applyFont="0" applyAlignment="0" applyProtection="0"/>
    <xf numFmtId="0" fontId="4" fillId="0" borderId="35" applyNumberFormat="0" applyFont="0" applyAlignment="0" applyProtection="0"/>
    <xf numFmtId="0" fontId="4" fillId="0" borderId="35" applyNumberFormat="0" applyFont="0" applyAlignment="0" applyProtection="0"/>
    <xf numFmtId="0" fontId="4" fillId="0" borderId="35" applyNumberFormat="0" applyFont="0" applyAlignment="0" applyProtection="0"/>
    <xf numFmtId="10" fontId="110" fillId="0" borderId="0" applyNumberFormat="0" applyFill="0" applyBorder="0" applyProtection="0">
      <alignment horizontal="right" vertical="top"/>
    </xf>
    <xf numFmtId="0" fontId="106" fillId="0" borderId="24" applyNumberFormat="0" applyFill="0" applyAlignment="0" applyProtection="0"/>
    <xf numFmtId="0" fontId="105" fillId="0" borderId="13" applyNumberFormat="0" applyFont="0" applyFill="0" applyAlignment="0" applyProtection="0">
      <alignment horizontal="left" vertical="top"/>
    </xf>
    <xf numFmtId="0" fontId="106" fillId="0" borderId="15" applyNumberFormat="0" applyFill="0" applyAlignment="0" applyProtection="0">
      <alignment vertical="top"/>
    </xf>
    <xf numFmtId="0" fontId="46" fillId="0" borderId="20"/>
    <xf numFmtId="37" fontId="4" fillId="0" borderId="0">
      <alignment horizontal="right"/>
    </xf>
    <xf numFmtId="0" fontId="4" fillId="0" borderId="0">
      <alignment horizontal="left" indent="5"/>
    </xf>
    <xf numFmtId="0" fontId="4" fillId="0" borderId="0">
      <alignment horizontal="left" indent="1"/>
    </xf>
    <xf numFmtId="0" fontId="30" fillId="0" borderId="0">
      <alignment horizontal="left" indent="5"/>
    </xf>
    <xf numFmtId="0" fontId="30" fillId="0" borderId="0">
      <alignment horizontal="left" indent="6"/>
    </xf>
    <xf numFmtId="0" fontId="30" fillId="0" borderId="0">
      <alignment horizontal="left" indent="1"/>
    </xf>
    <xf numFmtId="0" fontId="30" fillId="0" borderId="0">
      <alignment horizontal="left" indent="2"/>
    </xf>
    <xf numFmtId="0" fontId="30" fillId="0" borderId="0">
      <alignment horizontal="left" indent="3"/>
    </xf>
    <xf numFmtId="0" fontId="30" fillId="0" borderId="0">
      <alignment horizontal="left" indent="4"/>
    </xf>
    <xf numFmtId="0" fontId="111" fillId="0" borderId="0" applyFill="0" applyBorder="0" applyProtection="0">
      <alignment horizontal="center" vertical="center"/>
    </xf>
    <xf numFmtId="0" fontId="112" fillId="0" borderId="0" applyBorder="0" applyProtection="0">
      <alignment vertical="center"/>
    </xf>
    <xf numFmtId="0" fontId="55" fillId="0" borderId="0">
      <alignment horizontal="centerContinuous"/>
    </xf>
    <xf numFmtId="0" fontId="112" fillId="0" borderId="15" applyBorder="0" applyProtection="0">
      <alignment horizontal="right" vertical="center"/>
    </xf>
    <xf numFmtId="0" fontId="113" fillId="36" borderId="0" applyBorder="0" applyProtection="0">
      <alignment horizontal="centerContinuous" vertical="center"/>
    </xf>
    <xf numFmtId="0" fontId="113" fillId="37" borderId="15" applyBorder="0" applyProtection="0">
      <alignment horizontal="centerContinuous" vertical="center"/>
    </xf>
    <xf numFmtId="0" fontId="114" fillId="0" borderId="0" applyBorder="0" applyProtection="0">
      <alignment horizontal="left"/>
    </xf>
    <xf numFmtId="0" fontId="111" fillId="0" borderId="0" applyFill="0" applyBorder="0" applyProtection="0"/>
    <xf numFmtId="0" fontId="4" fillId="0" borderId="0">
      <alignment horizontal="left"/>
    </xf>
    <xf numFmtId="0" fontId="111" fillId="0" borderId="0" applyFill="0" applyBorder="0" applyProtection="0">
      <alignment horizontal="left"/>
    </xf>
    <xf numFmtId="0" fontId="24" fillId="0" borderId="3" applyFill="0" applyBorder="0" applyProtection="0">
      <alignment horizontal="left" vertical="top"/>
    </xf>
    <xf numFmtId="49" fontId="15" fillId="0" borderId="0" applyFill="0" applyBorder="0" applyAlignment="0"/>
    <xf numFmtId="0" fontId="31" fillId="0" borderId="0" applyFill="0" applyBorder="0" applyAlignment="0"/>
    <xf numFmtId="181" fontId="4" fillId="0" borderId="0" applyFill="0" applyBorder="0" applyAlignment="0"/>
    <xf numFmtId="181" fontId="4" fillId="0" borderId="0" applyFill="0" applyBorder="0" applyAlignment="0"/>
    <xf numFmtId="181" fontId="4" fillId="0" borderId="0" applyFill="0" applyBorder="0" applyAlignment="0"/>
    <xf numFmtId="0" fontId="13" fillId="0" borderId="0" applyNumberFormat="0" applyFont="0" applyFill="0" applyBorder="0" applyProtection="0">
      <alignment horizontal="left" vertical="top" wrapText="1"/>
    </xf>
    <xf numFmtId="38" fontId="115" fillId="0" borderId="36"/>
    <xf numFmtId="0" fontId="116" fillId="38" borderId="0"/>
    <xf numFmtId="0" fontId="117" fillId="0" borderId="0"/>
    <xf numFmtId="37" fontId="9" fillId="0" borderId="0" applyNumberFormat="0">
      <alignment horizontal="center"/>
    </xf>
    <xf numFmtId="1" fontId="82" fillId="0" borderId="0" applyFill="0" applyBorder="0" applyProtection="0">
      <alignment horizontal="center"/>
    </xf>
    <xf numFmtId="0" fontId="118" fillId="0" borderId="15" applyNumberFormat="0" applyFill="0" applyBorder="0" applyProtection="0">
      <alignment horizontal="center"/>
    </xf>
    <xf numFmtId="0" fontId="86" fillId="0" borderId="0" applyNumberFormat="0" applyFill="0" applyBorder="0" applyProtection="0"/>
    <xf numFmtId="38" fontId="29" fillId="0" borderId="8">
      <alignment horizontal="right"/>
    </xf>
    <xf numFmtId="0" fontId="62" fillId="0" borderId="37"/>
    <xf numFmtId="0" fontId="62" fillId="0" borderId="20"/>
    <xf numFmtId="0" fontId="114" fillId="39" borderId="2" applyFill="0" applyAlignment="0">
      <alignment horizontal="center" vertical="center"/>
    </xf>
    <xf numFmtId="210" fontId="24" fillId="2" borderId="2" applyFont="0" applyFill="0">
      <alignment horizontal="right"/>
    </xf>
    <xf numFmtId="0" fontId="119" fillId="39" borderId="2">
      <alignment horizontal="center" vertical="center"/>
    </xf>
    <xf numFmtId="210" fontId="120" fillId="2" borderId="2">
      <alignment horizontal="right"/>
    </xf>
    <xf numFmtId="37" fontId="121" fillId="0" borderId="15">
      <alignment horizontal="center"/>
    </xf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38" fontId="122" fillId="0" borderId="38">
      <alignment horizontal="centerContinuous"/>
    </xf>
    <xf numFmtId="2" fontId="9" fillId="13" borderId="16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4" fontId="10" fillId="0" borderId="0" applyFont="0" applyFill="0" applyBorder="0" applyProtection="0"/>
    <xf numFmtId="185" fontId="29" fillId="0" borderId="0" applyFont="0" applyFill="0" applyBorder="0" applyProtection="0">
      <alignment horizontal="right"/>
    </xf>
    <xf numFmtId="0" fontId="4" fillId="0" borderId="0"/>
    <xf numFmtId="0" fontId="1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44" applyNumberFormat="0" applyFont="0" applyAlignment="0" applyProtection="0"/>
    <xf numFmtId="0" fontId="4" fillId="0" borderId="43" applyNumberFormat="0" applyFont="0" applyAlignment="0" applyProtection="0"/>
    <xf numFmtId="0" fontId="4" fillId="0" borderId="43" applyNumberFormat="0" applyFont="0" applyAlignment="0" applyProtection="0"/>
    <xf numFmtId="0" fontId="106" fillId="0" borderId="42" applyNumberFormat="0" applyAlignment="0" applyProtection="0">
      <alignment horizontal="left" vertical="top"/>
    </xf>
    <xf numFmtId="0" fontId="105" fillId="0" borderId="42" applyNumberFormat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45" applyNumberFormat="0" applyFont="0" applyAlignment="0" applyProtection="0"/>
    <xf numFmtId="0" fontId="4" fillId="0" borderId="45" applyNumberFormat="0" applyFont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0" fontId="18" fillId="0" borderId="41" applyNumberFormat="0" applyFill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4" fillId="0" borderId="44" applyNumberFormat="0" applyFont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15" fontId="0" fillId="0" borderId="0" xfId="0" applyNumberFormat="1"/>
    <xf numFmtId="14" fontId="0" fillId="0" borderId="0" xfId="0" applyNumberFormat="1"/>
    <xf numFmtId="212" fontId="0" fillId="0" borderId="0" xfId="0" applyNumberFormat="1"/>
    <xf numFmtId="41" fontId="0" fillId="0" borderId="0" xfId="0" applyNumberFormat="1"/>
    <xf numFmtId="0" fontId="126" fillId="41" borderId="1" xfId="2102" applyFont="1" applyFill="1" applyBorder="1" applyAlignment="1">
      <alignment horizontal="center" vertical="center"/>
    </xf>
    <xf numFmtId="14" fontId="125" fillId="41" borderId="14" xfId="2030" applyNumberFormat="1" applyFont="1" applyFill="1" applyBorder="1" applyAlignment="1">
      <alignment horizontal="right" wrapText="1"/>
    </xf>
    <xf numFmtId="0" fontId="0" fillId="41" borderId="0" xfId="0" applyFill="1"/>
    <xf numFmtId="0" fontId="125" fillId="41" borderId="40" xfId="2030" applyFont="1" applyFill="1" applyBorder="1" applyAlignment="1">
      <alignment horizontal="center"/>
    </xf>
    <xf numFmtId="0" fontId="125" fillId="41" borderId="11" xfId="2030" applyFont="1" applyFill="1" applyBorder="1" applyAlignment="1">
      <alignment horizontal="center"/>
    </xf>
    <xf numFmtId="0" fontId="125" fillId="40" borderId="16" xfId="2030" applyFont="1" applyFill="1" applyBorder="1" applyAlignment="1">
      <alignment horizontal="center"/>
    </xf>
    <xf numFmtId="0" fontId="1" fillId="0" borderId="12" xfId="2029" applyBorder="1"/>
    <xf numFmtId="0" fontId="1" fillId="0" borderId="39" xfId="2029" applyBorder="1"/>
    <xf numFmtId="0" fontId="71" fillId="0" borderId="39" xfId="2030" applyFont="1" applyBorder="1" applyAlignment="1">
      <alignment horizontal="right" wrapText="1"/>
    </xf>
    <xf numFmtId="211" fontId="0" fillId="0" borderId="0" xfId="0" applyNumberFormat="1"/>
    <xf numFmtId="43" fontId="0" fillId="0" borderId="0" xfId="0" applyNumberFormat="1"/>
    <xf numFmtId="164" fontId="124" fillId="4" borderId="1" xfId="1" applyNumberFormat="1" applyFont="1" applyFill="1" applyBorder="1"/>
    <xf numFmtId="0" fontId="0" fillId="42" borderId="0" xfId="0" applyFill="1"/>
    <xf numFmtId="14" fontId="2" fillId="4" borderId="0" xfId="0" applyNumberFormat="1" applyFont="1" applyFill="1" applyAlignment="1">
      <alignment horizontal="center" vertical="center"/>
    </xf>
    <xf numFmtId="0" fontId="123" fillId="0" borderId="1" xfId="2100" applyFont="1" applyBorder="1"/>
    <xf numFmtId="14" fontId="2" fillId="4" borderId="0" xfId="2049" applyNumberFormat="1" applyFont="1" applyFill="1" applyAlignment="1">
      <alignment horizontal="center" vertical="center"/>
    </xf>
    <xf numFmtId="14" fontId="126" fillId="41" borderId="1" xfId="2102" applyNumberFormat="1" applyFont="1" applyFill="1" applyBorder="1" applyAlignment="1">
      <alignment horizontal="center" vertical="center"/>
    </xf>
    <xf numFmtId="43" fontId="0" fillId="0" borderId="0" xfId="2107" applyFont="1"/>
    <xf numFmtId="11" fontId="0" fillId="0" borderId="0" xfId="0" applyNumberFormat="1"/>
    <xf numFmtId="0" fontId="2" fillId="43" borderId="1" xfId="0" applyFont="1" applyFill="1" applyBorder="1" applyAlignment="1">
      <alignment horizontal="center"/>
    </xf>
    <xf numFmtId="0" fontId="2" fillId="43" borderId="1" xfId="0" applyFont="1" applyFill="1" applyBorder="1"/>
    <xf numFmtId="213" fontId="0" fillId="0" borderId="1" xfId="0" applyNumberFormat="1" applyBorder="1"/>
    <xf numFmtId="0" fontId="0" fillId="0" borderId="1" xfId="0" applyBorder="1"/>
    <xf numFmtId="0" fontId="127" fillId="44" borderId="46" xfId="0" applyFont="1" applyFill="1" applyBorder="1"/>
  </cellXfs>
  <cellStyles count="2108">
    <cellStyle name=" 1" xfId="35" xr:uid="{ADE5438D-166A-4EE0-85C7-03A5CC318267}"/>
    <cellStyle name=" 1 2" xfId="36" xr:uid="{229427C6-B17B-4984-9D93-FAAFF207EC83}"/>
    <cellStyle name=" 1_Sheet1" xfId="37" xr:uid="{EFCD89DD-4FEA-42C2-81EE-214E8F75F54B}"/>
    <cellStyle name=" 10" xfId="38" xr:uid="{D0865252-B403-49F8-B96F-C09BAC509967}"/>
    <cellStyle name=" 10 2" xfId="39" xr:uid="{C9A497FD-3366-440C-BE1E-6B72983B95FA}"/>
    <cellStyle name=" 10_Sheet1" xfId="40" xr:uid="{D3FAE41D-5BC2-4AAC-8732-A166FE603CD3}"/>
    <cellStyle name=" 11" xfId="41" xr:uid="{2392C6DD-2C93-4F1A-9DE3-40574D2B7C5E}"/>
    <cellStyle name=" 12" xfId="42" xr:uid="{441FF25B-20AE-43D0-BBDF-ADF6D401E3D0}"/>
    <cellStyle name=" 12 2" xfId="43" xr:uid="{078F62DA-69BF-41D4-8663-53B37DA1D453}"/>
    <cellStyle name=" 12_Sheet1" xfId="44" xr:uid="{6CC02216-09D2-4C81-93C1-C8252FE73010}"/>
    <cellStyle name=" 13" xfId="45" xr:uid="{E57F0BE1-0CB4-415E-A820-E32C7D3C797E}"/>
    <cellStyle name=" 13 2" xfId="46" xr:uid="{A248AAF1-C552-4695-8349-9A8E2A6C5C59}"/>
    <cellStyle name=" 13_Sheet1" xfId="47" xr:uid="{9159E8EE-A835-4CEE-92FB-0B4EB9F1F511}"/>
    <cellStyle name=" 2" xfId="48" xr:uid="{CDE9E267-FC2B-424A-AA63-CB45A06EE0AF}"/>
    <cellStyle name=" 3" xfId="49" xr:uid="{95328E6B-0632-47AC-B035-E4413EB16CAE}"/>
    <cellStyle name=" 4" xfId="50" xr:uid="{F2DE18E9-8CAE-4275-B4B8-B52464B329A5}"/>
    <cellStyle name=" 4 2" xfId="51" xr:uid="{8580BF9D-FE2C-428C-A07B-E8E1DECCB21A}"/>
    <cellStyle name=" 4_Sheet1" xfId="52" xr:uid="{7C674061-3428-4FAE-833F-25B7ABFC59F5}"/>
    <cellStyle name=" 5" xfId="53" xr:uid="{E468F8C6-9DFC-4AA7-A0F3-8EB9D06C05AB}"/>
    <cellStyle name=" 5 2" xfId="54" xr:uid="{41D8DCF1-6EEF-4972-ACB1-742E86D8A6BB}"/>
    <cellStyle name=" 5_Sheet1" xfId="55" xr:uid="{CBD56578-E28B-468E-86DD-127477E5899B}"/>
    <cellStyle name=" 6" xfId="56" xr:uid="{A6DFAEAB-9DE9-4B23-9982-131ADF7C51EA}"/>
    <cellStyle name=" 6 2" xfId="57" xr:uid="{3B4CC09F-C528-4EC5-86A8-37CFED0E7FA2}"/>
    <cellStyle name=" 6_Sheet1" xfId="58" xr:uid="{5527F2A2-1F9F-454E-8B4E-BC79A9B20819}"/>
    <cellStyle name=" 7" xfId="59" xr:uid="{60AAF102-3DA1-410B-A0CD-435FC68C8D4D}"/>
    <cellStyle name=" 7 2" xfId="60" xr:uid="{696FF6AA-7383-4284-865B-0DB4897B664D}"/>
    <cellStyle name=" 7_Sheet1" xfId="61" xr:uid="{2FE8C023-2E62-4EA1-885A-D6956E3883FD}"/>
    <cellStyle name=" 8" xfId="62" xr:uid="{01AA22E5-2851-46DB-8FFA-36489D37B1F5}"/>
    <cellStyle name=" 8 2" xfId="63" xr:uid="{18B12A3B-1A64-4B79-8FC2-6958FEB8FDAB}"/>
    <cellStyle name=" 8_Sheet1" xfId="64" xr:uid="{1E65B03D-D0B7-4D16-B735-FD66E9033E10}"/>
    <cellStyle name=" 9" xfId="65" xr:uid="{87E92835-B78B-4744-AA0A-CEB541728208}"/>
    <cellStyle name=" 9 2" xfId="66" xr:uid="{3DBC49FB-A970-4B04-AA36-254AC06ED91F}"/>
    <cellStyle name=" 9_Sheet1" xfId="67" xr:uid="{4606D48A-717B-4278-AC7F-D4F32C22BA61}"/>
    <cellStyle name="_x000a_386grabber=M" xfId="68" xr:uid="{20770304-A81C-4D95-B294-C27F49674B3E}"/>
    <cellStyle name="_x000a_bidires=100_x000d_" xfId="69" xr:uid="{7E3439CF-ACDC-4CF1-9B74-708DA5636D16}"/>
    <cellStyle name="_x000a_bidires=100_x000d_ 2" xfId="70" xr:uid="{D7201B09-428C-4C39-9F6D-183DA721E1D6}"/>
    <cellStyle name="_x000a_bidires=100_x000d__Sheet1" xfId="71" xr:uid="{8414AAFE-F4D7-4FF2-8FBF-E60008453D38}"/>
    <cellStyle name="$" xfId="72" xr:uid="{CFE95728-43BC-41B1-B479-058D06A6A61B}"/>
    <cellStyle name="$ &amp; ¢" xfId="73" xr:uid="{86D91DA7-0B82-4D75-9A2E-A2A14C7CEFF0}"/>
    <cellStyle name="$_05-15-2007 Permal Systematic Macro" xfId="74" xr:uid="{9E67ABCD-2DCA-427C-8AE3-9B0855E8DBD7}"/>
    <cellStyle name="$_Permal CTA Proxy 06-15-07 v5" xfId="75" xr:uid="{F57CC07D-7F18-4DB7-A829-F46313267F60}"/>
    <cellStyle name="$_Permal Gold Financials 01-15-07 Rollover" xfId="76" xr:uid="{38D6AF1E-5E4C-4326-A33A-BE984FED4676}"/>
    <cellStyle name="$_Permal Gold Financials 01-15-07 Rolloverv1" xfId="77" xr:uid="{EF5EEE1A-88BC-47C4-8560-8AA78DD12DE3}"/>
    <cellStyle name="$_Permal Gold Financials 01-15-07 Rolloverv2" xfId="78" xr:uid="{1313BDF3-3516-4523-B790-81099106BC78}"/>
    <cellStyle name="$_Permal Gold Financials 01-15-07 Rolloverv3" xfId="79" xr:uid="{211DD579-8640-4971-898E-5C6B9FE0C175}"/>
    <cellStyle name="$_Permal Gold Financials 12-15-06 Final" xfId="80" xr:uid="{2CF0E36C-9FD4-4C5B-8C91-25306D243E5A}"/>
    <cellStyle name="$_Permal Gold Financials 12-15-06 V1" xfId="81" xr:uid="{7239E8D3-1FA0-48D5-BB7D-E057E1CCF213}"/>
    <cellStyle name="$_Permal Gold Financials 12-31-06 v1" xfId="82" xr:uid="{50ABE33F-2A31-4C46-929D-AD85F340CDFA}"/>
    <cellStyle name="%" xfId="83" xr:uid="{218C7765-F874-43E9-9174-5047BFB0E22B}"/>
    <cellStyle name="%.00" xfId="84" xr:uid="{3F764170-855D-444D-9196-F4FB0CF9DC1C}"/>
    <cellStyle name="******************************************" xfId="85" xr:uid="{BB07C481-EE74-458D-8188-E10CBE6E2E5F}"/>
    <cellStyle name="****************************************** 2" xfId="86" xr:uid="{869BC4FF-D465-40A6-A245-7392BA7CFD80}"/>
    <cellStyle name="??_030129_CEI_FinBureau" xfId="87" xr:uid="{F934FF13-8035-41BC-9D1B-F429647C29AB}"/>
    <cellStyle name="_%(SignOnly)" xfId="88" xr:uid="{D6466643-61FE-45D1-B972-4A2788E946A2}"/>
    <cellStyle name="_%(SignOnly) 2" xfId="89" xr:uid="{241E2354-2FBB-4297-841A-F0AD3560AAD1}"/>
    <cellStyle name="_%(SignSpaceOnly)" xfId="90" xr:uid="{FADC07CF-9750-45DF-874F-6C3405FD2596}"/>
    <cellStyle name="_%(SignSpaceOnly) 2" xfId="91" xr:uid="{F248D538-F2A8-40CE-BB55-698E0EAA3D81}"/>
    <cellStyle name="_08 CB2e A03.21f - A3.21 g Onshore Financial Highlights" xfId="92" xr:uid="{A260427A-1389-435B-B688-9B56A5BD0C85}"/>
    <cellStyle name="_08 CSOP Pivot Table" xfId="93" xr:uid="{F4439E16-1848-47BB-AAD8-6EE4155C6DBC}"/>
    <cellStyle name="_090918 GAS FEEDER EST (2)" xfId="94" xr:uid="{F226DD32-9951-41A2-9853-ECFE15293572}"/>
    <cellStyle name="_2009" xfId="95" xr:uid="{B14CC586-F12D-4D0C-AA03-0D4E82E885DC}"/>
    <cellStyle name="_2009 05 AFA Jun09 MM AFA Hedge Approvals all tabs" xfId="96" xr:uid="{18567A6D-B3DE-44B3-849D-A90F08EB3118}"/>
    <cellStyle name="_2009 dec09 MM AFA Hedge Approvals all tabs" xfId="97" xr:uid="{80DE3952-D3AB-452D-B698-0137A2CCEB33}"/>
    <cellStyle name="_2009 Nov09 MM AFA Hedge Approvals all tabs" xfId="98" xr:uid="{83B520CF-AA72-49F6-8B21-FD561CD51184}"/>
    <cellStyle name="_2009 SEP09 MM AFA Hedge Approvals all tabs" xfId="99" xr:uid="{E1F509BC-45C7-4C1E-BCBE-15D2B1897C02}"/>
    <cellStyle name="_250 CDS Recon December 04" xfId="100" xr:uid="{E2A3AA44-4372-400F-91EA-FAC511E9922F}"/>
    <cellStyle name="_250 CDS Recon December 04 2" xfId="101" xr:uid="{A699422F-EDC2-4087-8F08-CE7ED3650342}"/>
    <cellStyle name="_250 CDS Recon December 04_2-Assets" xfId="102" xr:uid="{E3A9B50F-88EA-449D-AF9B-D745D157F5E0}"/>
    <cellStyle name="_250 CDS Recon December 04_2-Assets 2" xfId="103" xr:uid="{1EBA2597-1BC1-4108-806B-1AD5CF55101E}"/>
    <cellStyle name="_250 CDS Recon December 04_2-Assets_Sheet1" xfId="104" xr:uid="{9E353D40-F46A-4D68-A93D-FB637F8410E4}"/>
    <cellStyle name="_250 CDS Recon December 04_NAVs-SM" xfId="105" xr:uid="{C551EBD4-5780-4959-B45A-FC52EC27D9BE}"/>
    <cellStyle name="_250 CDS Recon December 04_Sheet1" xfId="106" xr:uid="{6B2AA3A6-18A4-4BAB-A21C-0DFC0FBEB1E1}"/>
    <cellStyle name="_250 CDS Recon January 05" xfId="107" xr:uid="{D74E469E-075B-432A-9FFD-B6834C85102B}"/>
    <cellStyle name="_250 CDS Recon January 05 2" xfId="108" xr:uid="{329BE718-D976-411D-AE32-8BB16ECD919A}"/>
    <cellStyle name="_250 CDS Recon January 05_2-Assets" xfId="109" xr:uid="{C6E041A3-02FF-4B1D-8195-2EA1BDDDC7CB}"/>
    <cellStyle name="_250 CDS Recon January 05_2-Assets 2" xfId="110" xr:uid="{56F3DF81-6C72-4D05-970B-42880BF046A0}"/>
    <cellStyle name="_250 CDS Recon January 05_2-Assets_Sheet1" xfId="111" xr:uid="{515A6500-9126-4890-ABDD-465F3674B2B5}"/>
    <cellStyle name="_250 CDS Recon January 05_NAVs-SM" xfId="112" xr:uid="{03ADDDC8-3443-43A8-B22B-FCF3F82E0C0F}"/>
    <cellStyle name="_250 CDS Recon January 05_Sheet1" xfId="113" xr:uid="{0B300CE2-B0CF-4B7E-85B7-AAC735C6CAB6}"/>
    <cellStyle name="_A2 BMHF FS 09.30.08" xfId="114" xr:uid="{106FC011-D811-476C-9053-5A190D8963A1}"/>
    <cellStyle name="_A2 BMHF FS 12.31.07 (Adjusted)" xfId="115" xr:uid="{B0334368-FB1C-47BA-9523-4B2817533A77}"/>
    <cellStyle name="_A2 BMHF FS 12.31.07 (Unadjusted)" xfId="116" xr:uid="{E6DCC584-B8A6-439F-8960-1E9A208D04EF}"/>
    <cellStyle name="_A2 BMHF FS 9.30.08" xfId="117" xr:uid="{53917118-975E-4E8A-8984-615395B3B7F8}"/>
    <cellStyle name="_A2 FS Support BMHF 09.30.08" xfId="118" xr:uid="{9F47F5F3-9F49-4B76-B144-54F19FE71B82}"/>
    <cellStyle name="_A2 PCSO Financial Draft - 2007 (Adjusted)" xfId="119" xr:uid="{C871DD66-4B41-42DE-B149-C0E87AF62FF9}"/>
    <cellStyle name="_A2 PCSO Financial Draft - 2007 (Adjusted) 2" xfId="120" xr:uid="{3E41B486-FFB8-4779-A188-0A67F397CEC4}"/>
    <cellStyle name="_A2 PCSO Financial Draft - 2007 (Adjusted)_Sheet1" xfId="121" xr:uid="{B93F05E3-D490-4644-9FED-D49BA3826650}"/>
    <cellStyle name="_A2.1 Adjusting Journal Entries" xfId="122" xr:uid="{3E08E43E-D0E3-4290-8EC2-7FB6E14F5806}"/>
    <cellStyle name="_A2.1 Adjusting Journal Entries (AB 12.8.08)" xfId="123" xr:uid="{C98532F1-3984-48A3-ABA5-3FA388F32C70}"/>
    <cellStyle name="_A2.1 IS Topside Entries" xfId="124" xr:uid="{F8C09124-DC75-44EA-A0F6-364E05D2D5C3}"/>
    <cellStyle name="_A2.1 IS Topside Entries O'Connor Capital Structure Opportunities 12-31-08" xfId="125" xr:uid="{A0522046-B090-4013-80F6-54F6474E1A47}"/>
    <cellStyle name="_A2.1a Adjustment Summary" xfId="126" xr:uid="{A3415D4D-58F0-4B4F-90F6-5ACFC2CC0DFC}"/>
    <cellStyle name="_A2.1a Adjustment Summary 2" xfId="127" xr:uid="{2AA8CE1F-E46B-4E2A-BCD4-7B99B46285C0}"/>
    <cellStyle name="_A2.1a Adjustment Summary_Sheet1" xfId="128" xr:uid="{C35D84AE-E23C-4AF6-A571-97749244FFF1}"/>
    <cellStyle name="_A3 - Consolidation 06-30-08" xfId="129" xr:uid="{3C5BC2BB-82BE-48A1-8A5E-1E087CCADBD0}"/>
    <cellStyle name="_A3 - Consolidation 06-30-08 2" xfId="130" xr:uid="{9DE50B6C-1313-41F1-BAFC-80D3D2AEB1E5}"/>
    <cellStyle name="_A3 - Consolidation 06-30-08_Sheet1" xfId="131" xr:uid="{47601485-410A-4C7B-A36C-F9E77F43D39C}"/>
    <cellStyle name="_A6 BMHF Master FinancialHighlights 07" xfId="132" xr:uid="{C2DD1C50-21FD-4464-9307-D4FA6234F136}"/>
    <cellStyle name="_A7.1 - Fihi backup" xfId="133" xr:uid="{F07964E5-05C7-46A2-93C4-008CA1C4B321}"/>
    <cellStyle name="_A7.1 - Fihi backup 2" xfId="134" xr:uid="{67526140-A415-4DE3-B7BF-A8F3546159CA}"/>
    <cellStyle name="_A7.1 - Fihi backup_Sheet1" xfId="135" xr:uid="{32364BA0-84F6-4B0A-BC12-FFA9A0A57473}"/>
    <cellStyle name="_Adjustment Summary" xfId="136" xr:uid="{1BE8DA2E-4E41-43EC-97C8-315CC93B9F0F}"/>
    <cellStyle name="_AFA query trial banking web plus own columns" xfId="137" xr:uid="{84A295F4-655A-4E86-B51A-3CD7BA98DFF3}"/>
    <cellStyle name="_AFA query trial banking web plus own columns 2" xfId="138" xr:uid="{29DB7CE4-103E-4E9D-8B83-ACD63EDFFA01}"/>
    <cellStyle name="_AFA query trial banking web plus own columns_Sheet1" xfId="139" xr:uid="{95E56F78-D386-4209-A3C5-9541F835BB61}"/>
    <cellStyle name="_Alpha Select EST 2009 10 16" xfId="140" xr:uid="{5AAC34A6-61E2-4202-B407-A1B59A60E2E9}"/>
    <cellStyle name="_APCF" xfId="141" xr:uid="{52C406D7-0EC8-4162-AD4D-CBF38E4D3447}"/>
    <cellStyle name="_APCF 2" xfId="142" xr:uid="{CF66DE79-711B-45BB-8F80-C91AFF724F39}"/>
    <cellStyle name="_APCF_ Cash USD " xfId="143" xr:uid="{B32C0EE4-6ADB-4F69-9698-132D36B0AB0D}"/>
    <cellStyle name="_APCF_1" xfId="144" xr:uid="{B4235868-E1F8-457C-AB9E-27ADE840ACB8}"/>
    <cellStyle name="_APCF_1 2" xfId="145" xr:uid="{BFDD12DB-42AA-47FB-8575-E67D07B0F9D4}"/>
    <cellStyle name="_APCF_1_Sheet1" xfId="146" xr:uid="{9AECFE85-338F-40EF-B75F-29030C1C60D9}"/>
    <cellStyle name="_APCF_2-Assets" xfId="147" xr:uid="{D14BA995-B643-4FA3-B1E1-AF695ECE034D}"/>
    <cellStyle name="_APCF_2-Assets 2" xfId="148" xr:uid="{7C3257AA-37FD-4275-B87B-1A64E63447C1}"/>
    <cellStyle name="_APCF_2-Assets_Sheet1" xfId="149" xr:uid="{929CD1B7-447B-4C3E-BD74-49AD39FA956E}"/>
    <cellStyle name="_APCF_BBG TRAC FORMULAS" xfId="150" xr:uid="{7A15B5E0-2942-470D-B370-D07B285746DC}"/>
    <cellStyle name="_APCF_BBG TRAC FORMULAS_Sheet1" xfId="151" xr:uid="{4A218B48-040D-4CC3-A10C-9721113784FC}"/>
    <cellStyle name="_APCF_BBG_bonds March 09 (2)" xfId="152" xr:uid="{02F18031-DE2B-40D8-9EB7-2DDD6F79DCD1}"/>
    <cellStyle name="_APCF_BBG_bonds March 09 (2)_Sheet1" xfId="153" xr:uid="{2B4613C3-93B3-446E-A191-222274BDDC21}"/>
    <cellStyle name="_APCF_BGN BBG" xfId="154" xr:uid="{6E8E6F91-7A84-41DA-AFB8-03B4FEB9B007}"/>
    <cellStyle name="_APCF_BGN BBG FORMULAS" xfId="155" xr:uid="{096187A6-B8C5-4717-8CAA-B68711D4A530}"/>
    <cellStyle name="_APCF_BGN BBG FORMULAS_Sheet1" xfId="156" xr:uid="{56320684-6553-4A5C-8353-1122E49DF16D}"/>
    <cellStyle name="_APCF_BGN BBG_Sheet1" xfId="157" xr:uid="{460CE88A-1773-4465-BF24-2C0970A4AAD8}"/>
    <cellStyle name="_APCF_BVAL BBG FORMULAS" xfId="158" xr:uid="{4CF0EBE3-5FB6-4E19-8A1D-30E1459D9807}"/>
    <cellStyle name="_APCF_BVAL BBG FORMULAS_Sheet1" xfId="159" xr:uid="{F708BF92-DBF5-4BBA-8CD1-8C014C90AB88}"/>
    <cellStyle name="_APCF_Cash USD" xfId="160" xr:uid="{CBC556AD-95F5-4543-A7BF-3DB4CE9BB044}"/>
    <cellStyle name="_APCF_Cash USD " xfId="161" xr:uid="{1DC7B1BC-A68D-4445-A1EF-8A875E99BD03}"/>
    <cellStyle name="_APCF_Cash USD _Current" xfId="162" xr:uid="{F685C38D-5A24-4C12-B96F-42E48287F192}"/>
    <cellStyle name="_APCF_Cash USD _FWD conts" xfId="163" xr:uid="{B068D909-CE5F-4E07-889A-BEDAAEE4E112}"/>
    <cellStyle name="_APCF_Cash USD _FWD conts_Current" xfId="164" xr:uid="{CA9A84CA-3307-43B9-BC20-39DB273ADC17}"/>
    <cellStyle name="_APCF_Cash USD _FWD conts_Pending" xfId="165" xr:uid="{CC86149B-0110-43D0-BCAE-326A3E8DA81B}"/>
    <cellStyle name="_APCF_Cash USD _FWD conts_Prior month - FWD" xfId="166" xr:uid="{7426C0BE-820F-4AEA-8CB1-C75D3CC3EF6B}"/>
    <cellStyle name="_APCF_Cash USD _FWD conts_Prior month - FWD GL msa II" xfId="167" xr:uid="{D606EE1A-FAB9-4C76-A3F3-C79B239F1516}"/>
    <cellStyle name="_APCF_Cash USD _FWD conts_Recalc" xfId="168" xr:uid="{603C4A41-1D64-4D38-8ADA-8FECC0F497B6}"/>
    <cellStyle name="_APCF_Cash USD _FWD conts_USD Assets" xfId="169" xr:uid="{C84B345E-E6F5-4D8B-9660-6408E866336D}"/>
    <cellStyle name="_APCF_Cash USD _Jan 1st MFT" xfId="170" xr:uid="{BAB53D08-9B2E-4147-AA34-386FB5108BD4}"/>
    <cellStyle name="_APCF_Cash USD _Pending" xfId="171" xr:uid="{12FF7FC6-5F29-4615-A076-3610B7BC5198}"/>
    <cellStyle name="_APCF_Cash USD _Prior month - FWD GL msa II" xfId="172" xr:uid="{5B06FF96-DC5A-4DB6-A045-3F1810C9D972}"/>
    <cellStyle name="_APCF_Cash USD _Recalc" xfId="173" xr:uid="{CBA58A34-1324-471C-9E78-FEC22F7DCF54}"/>
    <cellStyle name="_APCF_Cash USD _Sheet1" xfId="174" xr:uid="{83024C35-CD4F-4EF2-8AA5-881E27A631BB}"/>
    <cellStyle name="_APCF_Cash USD _USD Assets" xfId="175" xr:uid="{55CA865A-599D-42F5-AE97-CD2578DB7C4D}"/>
    <cellStyle name="_APCF_Current" xfId="176" xr:uid="{FA7AD65F-ACBE-4FBB-94EC-3306383C0755}"/>
    <cellStyle name="_APCF_FWD conts" xfId="177" xr:uid="{AEF4DAB9-C823-4F1F-9D01-7C24ABE92009}"/>
    <cellStyle name="_APCF_GDA_Q2" xfId="178" xr:uid="{3A114179-0730-434A-A5E5-FEE08DADDCDB}"/>
    <cellStyle name="_APCF_Jan 1st  MFT" xfId="179" xr:uid="{D8901D37-7B83-4C19-AC3E-8F4D9660BFC4}"/>
    <cellStyle name="_APCF_Jan 1st MFT" xfId="180" xr:uid="{5FDCEEFD-47A9-4F27-8FBA-1A0E54573655}"/>
    <cellStyle name="_APCF_KBFP BBG FORMULAS" xfId="181" xr:uid="{4F0F38EE-FAF4-4EC7-BE12-886463682C1A}"/>
    <cellStyle name="_APCF_KBFP BBG FORMULAS_Sheet1" xfId="182" xr:uid="{77116425-7DF7-4CCE-9F8E-5F263F1343AF}"/>
    <cellStyle name="_APCF_NAVs-SM" xfId="183" xr:uid="{AB949898-B966-447D-9CE5-989405B81BCD}"/>
    <cellStyle name="_APCF_Net Subs" xfId="184" xr:uid="{44E69F5B-40FB-4104-B7B0-ECC6C443ED74}"/>
    <cellStyle name="_APCF_Pending" xfId="185" xr:uid="{9500017A-1144-4A50-B3ED-D6223C55CE1B}"/>
    <cellStyle name="_APCF_Prices" xfId="186" xr:uid="{C0467838-A7D7-4A3F-9163-B8AA2E55FEE9}"/>
    <cellStyle name="_APCF_Prior Month" xfId="187" xr:uid="{7FFF5FDF-0FCE-403C-B50E-2AB4BF075B38}"/>
    <cellStyle name="_APCF_Prior month - FWD" xfId="188" xr:uid="{CD111327-DF5A-46A6-8E5E-1CE1D4E0A989}"/>
    <cellStyle name="_APCF_Prior month - FWD GL msa II" xfId="189" xr:uid="{2F62F521-E522-44CB-B39B-030DCAD1FC3B}"/>
    <cellStyle name="_APCF_Rec" xfId="190" xr:uid="{E3AF64B5-534D-458C-957F-A4F02B76E590}"/>
    <cellStyle name="_APCF_Recalc" xfId="191" xr:uid="{1FFB19A4-2060-41A5-875B-39A8CED1AE0C}"/>
    <cellStyle name="_APCF_SEPT 11 EST" xfId="192" xr:uid="{C4F22A41-AD34-4CAF-9987-8FDCC89DAA45}"/>
    <cellStyle name="_APCF_SEPT 11 EST 2" xfId="193" xr:uid="{8517F1FC-4A1E-437B-BD17-5462D40D0EF2}"/>
    <cellStyle name="_APCF_SEPT 11 EST_Sheet1" xfId="194" xr:uid="{E06E82CD-5E3C-4C40-AF21-1DD12ADE2FFC}"/>
    <cellStyle name="_APCF_Sheet1" xfId="195" xr:uid="{59FF3254-4941-40D2-BBDF-FB48A21E8387}"/>
    <cellStyle name="_APCF_Sheet1_1" xfId="196" xr:uid="{EF420257-641A-4BAC-BF96-3269945F0EF3}"/>
    <cellStyle name="_APCF_Sheet1_1_NAVs-SM" xfId="197" xr:uid="{BA1F756B-5FCF-4BA2-8429-8E8FDE2C8212}"/>
    <cellStyle name="_APCF_Sheet1_1_Sheet1" xfId="198" xr:uid="{2C478B19-DC38-4F5D-B9C7-9F2DB0AFA6B6}"/>
    <cellStyle name="_APCF_Sheet1_2" xfId="199" xr:uid="{FD8B8B99-FF38-4051-BCD3-B52BC19EB73F}"/>
    <cellStyle name="_APCF_Sheet1_Sheet1" xfId="200" xr:uid="{64A4CBC7-6732-4D77-A32D-152729BDD53B}"/>
    <cellStyle name="_APCF_Summary" xfId="201" xr:uid="{7C5E7602-E8A6-4900-8C6D-88A20889BAD7}"/>
    <cellStyle name="_APCF_TRAC BBG FORMULAS" xfId="202" xr:uid="{ED447315-1B41-4D2E-8B4E-53669800EEF8}"/>
    <cellStyle name="_APCF_TRAC BBG FORMULAS_Sheet1" xfId="203" xr:uid="{0A61AF9D-2DA5-4B04-8066-38E12604D714}"/>
    <cellStyle name="_APCF_USD Assets" xfId="204" xr:uid="{48E766D3-E34E-441E-AFE0-D2BE1F64B0E3}"/>
    <cellStyle name="_ASEL EUR" xfId="205" xr:uid="{7C8C4A47-FB78-48AE-B738-5C8006740C63}"/>
    <cellStyle name="_ASF-AQAS ANALYSIS" xfId="206" xr:uid="{00B5703A-5937-403C-A6DC-2267B70AA7D7}"/>
    <cellStyle name="_b_Warrants Testing September 2008 (Hardcoded)" xfId="207" xr:uid="{80CB53D4-C379-4165-9698-8C88CA491159}"/>
    <cellStyle name="_b_Warrants Testing September 2008 (Hardcoded) 2" xfId="208" xr:uid="{CC969F35-D82E-4F86-B20C-190411DDED44}"/>
    <cellStyle name="_b_Warrants Testing September 2008 (Hardcoded)_Sheet1" xfId="209" xr:uid="{FAC07895-4A94-4AF8-A238-6B983D5C111B}"/>
    <cellStyle name="_Balance Sheet reclass-updated" xfId="210" xr:uid="{030C01E5-0BE0-4F1F-B7F1-03204AD0C9CA}"/>
    <cellStyle name="_BALSHEET" xfId="211" xr:uid="{D36DF00C-61B8-4856-9859-23685FB874B0}"/>
    <cellStyle name="_BAMS-OTC" xfId="212" xr:uid="{E457FBB5-D75E-4C0B-87A2-3926032D9040}"/>
    <cellStyle name="_Basso Credit Opportunities Master Financials 2006 v5 with Bond Amort" xfId="213" xr:uid="{6638E6FA-033E-48B2-9134-7994914DC3EB}"/>
    <cellStyle name="_BCAP-OTC" xfId="214" xr:uid="{CB6F020D-72EB-4FDD-B0C4-DECA6DE5753F}"/>
    <cellStyle name="_BCHF Cash Flow Indirect Method 12-31-06 as of 3-21-07" xfId="215" xr:uid="{1C3AC4EA-992E-4A3C-829D-1D223862FD15}"/>
    <cellStyle name="_BCHF_DB_ 05_14_07" xfId="216" xr:uid="{07CED289-B4AF-4698-AEE0-AF4C9635B0B0}"/>
    <cellStyle name="_BCHF_DB_ 05_29_07" xfId="217" xr:uid="{28947C3E-F3E0-4C0E-BAE9-BBD479CC9088}"/>
    <cellStyle name="_BCHF_DB_ 06_15_07" xfId="218" xr:uid="{6AC646CB-0C0F-482C-8FE3-7CB8C6F84A2B}"/>
    <cellStyle name="_BCHF_DB_ 12_18_07" xfId="219" xr:uid="{437EC70D-8D40-4623-8EE0-5C3C933A9DBB}"/>
    <cellStyle name="_BMHF - BS Reclass - 12.31.06" xfId="220" xr:uid="{BE90C069-F93B-44C0-902A-FF96236F5C37}"/>
    <cellStyle name="_BMHF FS 1031" xfId="221" xr:uid="{0A7BF4B1-947E-4A04-87A6-D31F5E7DC284}"/>
    <cellStyle name="_BMLTD  Financials 06" xfId="222" xr:uid="{0B4B7DF1-3C86-47C7-AFA8-5B7DB299B446}"/>
    <cellStyle name="_BMLTD  Financials 06_Share working" xfId="223" xr:uid="{E598315B-3F3D-4692-BCC5-3F72A5DB57AD}"/>
    <cellStyle name="_BMLTD  Financials 06_Subs Reds" xfId="224" xr:uid="{0159FE63-5476-41AA-B907-802FAA34EBCD}"/>
    <cellStyle name="_Book1" xfId="225" xr:uid="{E1DF1383-ECD3-4EAA-8046-F3491C532CDA}"/>
    <cellStyle name="_Book2" xfId="226" xr:uid="{AA825D9F-6BF9-41BB-BEB1-1827FE30E24F}"/>
    <cellStyle name="_Book2 2" xfId="227" xr:uid="{6986DD91-7B43-479A-ABCE-1EFBECAE3D44}"/>
    <cellStyle name="_Book2_Sheet1" xfId="228" xr:uid="{FB888E23-9220-47A9-8E06-0D4EE41C11DA}"/>
    <cellStyle name="_Book38" xfId="229" xr:uid="{8CDFC237-BF34-4E2C-9EA4-F771B445050E}"/>
    <cellStyle name="_BS reclass for CDS interest_swap financing interest_swap dividend" xfId="230" xr:uid="{C8C464AD-B06F-41E9-A6EA-03A270D48EC0}"/>
    <cellStyle name="_CAMDEN - Barnet Partners for cob 013105 - Adel Abinsay (2)" xfId="231" xr:uid="{20AB5315-2219-48D8-A2C1-1BFBDD87AF6A}"/>
    <cellStyle name="_CAMDEN - Barnet Partners for cob 013105 - Adel Abinsay (2) 2" xfId="232" xr:uid="{5DA11A77-8C99-48E3-9A58-CDB09AA67700}"/>
    <cellStyle name="_CAMDEN - Barnet Partners for cob 013105 - Adel Abinsay (2)_2-Assets" xfId="233" xr:uid="{EFB1D0D4-5554-4077-8383-A09089261807}"/>
    <cellStyle name="_CAMDEN - Barnet Partners for cob 013105 - Adel Abinsay (2)_2-Assets 2" xfId="234" xr:uid="{A2E25843-8A90-4720-8922-25D87F5BA170}"/>
    <cellStyle name="_CAMDEN - Barnet Partners for cob 013105 - Adel Abinsay (2)_2-Assets_Sheet1" xfId="235" xr:uid="{6EFCA0FE-A1C8-416F-819D-A9CBF5805076}"/>
    <cellStyle name="_CAMDEN - Barnet Partners for cob 013105 - Adel Abinsay (2)_NAVs-SM" xfId="236" xr:uid="{68C21CC3-19E1-44FE-9C3A-784EA981D9DF}"/>
    <cellStyle name="_CAMDEN - Barnet Partners for cob 013105 - Adel Abinsay (2)_Sheet1" xfId="237" xr:uid="{15735CCB-A901-4CCB-9CEB-BDC13DF0C454}"/>
    <cellStyle name="_CAMDEN - Barnet Partners for cob 022805 - Adel Abinsay" xfId="238" xr:uid="{3269D4BA-47D4-4910-9A32-3F8B7D730C45}"/>
    <cellStyle name="_CAMDEN - Barnet Partners for cob 022805 - Adel Abinsay 2" xfId="239" xr:uid="{F86F52AA-98FB-4A5E-9DCA-F36A5B530025}"/>
    <cellStyle name="_CAMDEN - Barnet Partners for cob 022805 - Adel Abinsay_2-Assets" xfId="240" xr:uid="{F853425F-BD21-4DA3-A4E6-18BC52FA7309}"/>
    <cellStyle name="_CAMDEN - Barnet Partners for cob 022805 - Adel Abinsay_2-Assets 2" xfId="241" xr:uid="{83C2F0DD-7B88-482E-A594-3D46963E0EAF}"/>
    <cellStyle name="_CAMDEN - Barnet Partners for cob 022805 - Adel Abinsay_2-Assets_Sheet1" xfId="242" xr:uid="{3C7DA413-299E-4D19-B87B-99EAAF7AF42B}"/>
    <cellStyle name="_CAMDEN - Barnet Partners for cob 022805 - Adel Abinsay_NAVs-SM" xfId="243" xr:uid="{E05AA2A3-90E4-4C95-A20A-07360AA4FE11}"/>
    <cellStyle name="_CAMDEN - Barnet Partners for cob 022805 - Adel Abinsay_Sheet1" xfId="244" xr:uid="{70BC4144-9BCD-4E18-84DF-D579E2AB452A}"/>
    <cellStyle name="_CAMDEN - Barnet Partners for cob 102904 (2)" xfId="245" xr:uid="{4A5A4493-F701-4AA8-8711-EC5DF81361E7}"/>
    <cellStyle name="_CAMDEN - Barnet Partners for cob 102904 (2) 2" xfId="246" xr:uid="{DE1F8E99-C310-4292-8F3D-E65B123B70DB}"/>
    <cellStyle name="_CAMDEN - Barnet Partners for cob 102904 (2)_2-Assets" xfId="247" xr:uid="{A141E3C6-684B-4F03-9308-34572068E7CC}"/>
    <cellStyle name="_CAMDEN - Barnet Partners for cob 102904 (2)_2-Assets 2" xfId="248" xr:uid="{2163C72D-CA3D-4322-AC7E-95ECF04EB95A}"/>
    <cellStyle name="_CAMDEN - Barnet Partners for cob 102904 (2)_2-Assets_Sheet1" xfId="249" xr:uid="{97FBCB04-4539-4CFE-9543-09BE08A97056}"/>
    <cellStyle name="_CAMDEN - Barnet Partners for cob 102904 (2)_NAVs-SM" xfId="250" xr:uid="{C1C2BA29-721C-46C2-B174-B024FFE6555B}"/>
    <cellStyle name="_CAMDEN - Barnet Partners for cob 102904 (2)_Sheet1" xfId="251" xr:uid="{561902E8-2EF4-48F7-9D80-127D433867B4}"/>
    <cellStyle name="_CAMDEN - Barnet Partners for cob 113004 - Adel Abinsay" xfId="252" xr:uid="{E484A0BF-0D78-4239-BB42-561CEDA0EBC5}"/>
    <cellStyle name="_CAMDEN - Barnet Partners for cob 113004 - Adel Abinsay 2" xfId="253" xr:uid="{69D65D76-ECBA-4F32-B540-463BA98571FE}"/>
    <cellStyle name="_CAMDEN - Barnet Partners for cob 113004 - Adel Abinsay_2-Assets" xfId="254" xr:uid="{92A3E32F-86E9-4328-BB88-C730289F69E9}"/>
    <cellStyle name="_CAMDEN - Barnet Partners for cob 113004 - Adel Abinsay_2-Assets 2" xfId="255" xr:uid="{D8A11961-AD95-446F-8F6A-CB740BFBBDA0}"/>
    <cellStyle name="_CAMDEN - Barnet Partners for cob 113004 - Adel Abinsay_2-Assets_Sheet1" xfId="256" xr:uid="{3165158B-B196-41EB-AAA0-1311F1C0A4AC}"/>
    <cellStyle name="_CAMDEN - Barnet Partners for cob 113004 - Adel Abinsay_NAVs-SM" xfId="257" xr:uid="{CEF9807F-B796-493E-BD5B-5739A7DA1E19}"/>
    <cellStyle name="_CAMDEN - Barnet Partners for cob 113004 - Adel Abinsay_Sheet1" xfId="258" xr:uid="{DCCBAA62-6FE5-41A0-B0EC-79D13FC91FE4}"/>
    <cellStyle name="_CAMDEN - Barnet Partners for cob 123104 - Adel Abinsay (3)" xfId="259" xr:uid="{6D00DA3A-D16E-4589-8495-E3BCECDC9AA2}"/>
    <cellStyle name="_CAMDEN - Barnet Partners for cob 123104 - Adel Abinsay (3) 2" xfId="260" xr:uid="{F884F6EB-418D-4B74-889F-684CA28DBD3B}"/>
    <cellStyle name="_CAMDEN - Barnet Partners for cob 123104 - Adel Abinsay (3)_2-Assets" xfId="261" xr:uid="{98EDCB3B-CC33-45FC-A0EA-098A6E905F6A}"/>
    <cellStyle name="_CAMDEN - Barnet Partners for cob 123104 - Adel Abinsay (3)_2-Assets 2" xfId="262" xr:uid="{508CFF92-9C7F-4999-B63C-177ADF00DC27}"/>
    <cellStyle name="_CAMDEN - Barnet Partners for cob 123104 - Adel Abinsay (3)_2-Assets_Sheet1" xfId="263" xr:uid="{B69076EF-0273-4934-BF0F-944C90A43F61}"/>
    <cellStyle name="_CAMDEN - Barnet Partners for cob 123104 - Adel Abinsay (3)_NAVs-SM" xfId="264" xr:uid="{90C3A837-F63A-4622-A04B-1792074493DE}"/>
    <cellStyle name="_CAMDEN - Barnet Partners for cob 123104 - Adel Abinsay (3)_Sheet1" xfId="265" xr:uid="{F592CE6D-D8CC-4FC2-936B-DFB5FAF0CD41}"/>
    <cellStyle name="_CAMDEN - Century Park Trust for cob 022805 - Michael Teran" xfId="266" xr:uid="{73E835F5-F765-41A6-A6E5-A14AA2134C72}"/>
    <cellStyle name="_CAMDEN - Century Park Trust for cob 022805 - Michael Teran 2" xfId="267" xr:uid="{4D9C6A21-6751-4A27-9A08-8D14A213C997}"/>
    <cellStyle name="_CAMDEN - Century Park Trust for cob 022805 - Michael Teran_2-Assets" xfId="268" xr:uid="{7490009B-B0B5-4E1F-888A-DCEC2238308A}"/>
    <cellStyle name="_CAMDEN - Century Park Trust for cob 022805 - Michael Teran_2-Assets 2" xfId="269" xr:uid="{7796D5F1-4567-43D8-A406-0946E9DE63F0}"/>
    <cellStyle name="_CAMDEN - Century Park Trust for cob 022805 - Michael Teran_2-Assets_Sheet1" xfId="270" xr:uid="{01DF3C38-243B-4535-A526-67DB8D4545F2}"/>
    <cellStyle name="_CAMDEN - Century Park Trust for cob 022805 - Michael Teran_NAVs-SM" xfId="271" xr:uid="{32F32D10-0D7E-4C30-A501-E679464783B8}"/>
    <cellStyle name="_CAMDEN - Century Park Trust for cob 022805 - Michael Teran_Sheet1" xfId="272" xr:uid="{C0AF3CD6-8B91-4EFD-BFB8-34B25F3DE883}"/>
    <cellStyle name="_CAMDEN - Century Park Trust for cob 033105 - Michael Teran" xfId="273" xr:uid="{9EF3C99F-5D0A-4AAB-99FF-89CCA7F9133A}"/>
    <cellStyle name="_CAMDEN - Century Park Trust for cob 033105 - Michael Teran 2" xfId="274" xr:uid="{34D9C589-63F0-436C-83AB-450D94F2F215}"/>
    <cellStyle name="_CAMDEN - Century Park Trust for cob 033105 - Michael Teran_2-Assets" xfId="275" xr:uid="{04D3D8C0-4603-4995-9211-13A7DD7203BC}"/>
    <cellStyle name="_CAMDEN - Century Park Trust for cob 033105 - Michael Teran_2-Assets 2" xfId="276" xr:uid="{CF42E3DD-2BB9-4F37-8C6C-C8693EB6F727}"/>
    <cellStyle name="_CAMDEN - Century Park Trust for cob 033105 - Michael Teran_2-Assets_Sheet1" xfId="277" xr:uid="{3A5DBDF9-B2D5-4B98-A9B6-FE111A853C6B}"/>
    <cellStyle name="_CAMDEN - Century Park Trust for cob 033105 - Michael Teran_NAVs-SM" xfId="278" xr:uid="{9958143B-0593-4A55-B1D2-AB55D26C0F63}"/>
    <cellStyle name="_CAMDEN - Century Park Trust for cob 033105 - Michael Teran_Sheet1" xfId="279" xr:uid="{B79355EE-678C-4C65-A4BF-6DA6A9F6C1F0}"/>
    <cellStyle name="_CB2E" xfId="280" xr:uid="{6B33B2DF-6874-4AC0-8A46-D1E94041DB55}"/>
    <cellStyle name="_CB2E 2" xfId="281" xr:uid="{799C1A4A-D11B-4A64-A6C7-9EA6C6751050}"/>
    <cellStyle name="_CB2E_ Cash USD " xfId="282" xr:uid="{1271959F-E17A-4C81-8E17-C5B30CEEF2A0}"/>
    <cellStyle name="_CB2E_2-Assets" xfId="283" xr:uid="{129E0AD3-DF1A-4439-A29A-C94E1D65B45B}"/>
    <cellStyle name="_CB2E_2-Assets 2" xfId="284" xr:uid="{BDCC331A-BD1A-4C78-B171-320EF5A592B2}"/>
    <cellStyle name="_CB2E_2-Assets_Sheet1" xfId="285" xr:uid="{C549A4BF-9A7F-4AB8-952C-4CF00B222A78}"/>
    <cellStyle name="_CB2E_BBG TRAC FORMULAS" xfId="286" xr:uid="{9CC1E7AD-E885-4B9A-B5DD-0D6A1BD17075}"/>
    <cellStyle name="_CB2E_BBG TRAC FORMULAS_Sheet1" xfId="287" xr:uid="{90F9EA70-1A2D-4299-8BE1-8E80A8DFEBA5}"/>
    <cellStyle name="_CB2E_BBG_bonds March 09 (2)" xfId="288" xr:uid="{3829F717-402D-414F-B6BF-C9FEB4CFBD2C}"/>
    <cellStyle name="_CB2E_BBG_bonds March 09 (2)_Sheet1" xfId="289" xr:uid="{1719342C-76DD-43B9-84E1-112108B99684}"/>
    <cellStyle name="_CB2E_BGN BBG" xfId="290" xr:uid="{8C98EF4A-C201-4069-A1BE-5756FECEE1CC}"/>
    <cellStyle name="_CB2E_BGN BBG FORMULAS" xfId="291" xr:uid="{7E72EE5B-84ED-4328-8487-8F6088765C54}"/>
    <cellStyle name="_CB2E_BGN BBG FORMULAS_Sheet1" xfId="292" xr:uid="{923D9354-1A9E-4E27-972B-02242AA54948}"/>
    <cellStyle name="_CB2E_BGN BBG_Sheet1" xfId="293" xr:uid="{62B2A9C2-1CA4-46D5-9083-7F13CCD63AB9}"/>
    <cellStyle name="_CB2E_BVAL BBG FORMULAS" xfId="294" xr:uid="{F7CCB93A-5564-478F-944F-549B4B3442F7}"/>
    <cellStyle name="_CB2E_BVAL BBG FORMULAS_Sheet1" xfId="295" xr:uid="{11C7220A-1C32-42C3-B4C7-2FDC9564E1ED}"/>
    <cellStyle name="_CB2E_Cash USD" xfId="296" xr:uid="{1D1357B7-5E2F-4954-B408-E15B8E17A1F1}"/>
    <cellStyle name="_CB2E_Cash USD " xfId="297" xr:uid="{4B66E699-292A-471A-9598-B3B3B1EFA6C4}"/>
    <cellStyle name="_CB2E_Cash USD _Current" xfId="298" xr:uid="{312FC0A2-8499-4A4D-95E4-CC678430632B}"/>
    <cellStyle name="_CB2E_Cash USD _FWD conts" xfId="299" xr:uid="{CB37820B-5FC1-47BA-AC56-B9DEE76F8AC4}"/>
    <cellStyle name="_CB2E_Cash USD _FWD conts_Current" xfId="300" xr:uid="{4596E15E-EA91-4CBF-9AA5-2E49B999B315}"/>
    <cellStyle name="_CB2E_Cash USD _FWD conts_Pending" xfId="301" xr:uid="{69AD9874-7ADE-4028-876A-297636265628}"/>
    <cellStyle name="_CB2E_Cash USD _FWD conts_Prior month - FWD" xfId="302" xr:uid="{CF5E4596-CD8F-4853-A7B5-11B258EC3699}"/>
    <cellStyle name="_CB2E_Cash USD _FWD conts_Prior month - FWD GL msa II" xfId="303" xr:uid="{38991A2C-6552-45A9-A94F-72D71D21F375}"/>
    <cellStyle name="_CB2E_Cash USD _FWD conts_Recalc" xfId="304" xr:uid="{1A97B8E2-4758-4304-BB8A-3D33137C8329}"/>
    <cellStyle name="_CB2E_Cash USD _FWD conts_USD Assets" xfId="305" xr:uid="{103BD125-1B22-4179-859D-80E3968C366F}"/>
    <cellStyle name="_CB2E_Cash USD _Jan 1st MFT" xfId="306" xr:uid="{631B46C9-96D0-4A1C-B5C8-F9635F2A9D20}"/>
    <cellStyle name="_CB2E_Cash USD _Pending" xfId="307" xr:uid="{1552A005-0154-4398-8564-D5B6D112871E}"/>
    <cellStyle name="_CB2E_Cash USD _Prior month - FWD GL msa II" xfId="308" xr:uid="{B4532A98-4C74-40ED-A90A-9A29BE021A98}"/>
    <cellStyle name="_CB2E_Cash USD _Recalc" xfId="309" xr:uid="{C5FDBA79-9440-421A-9AFA-6310F941177E}"/>
    <cellStyle name="_CB2E_Cash USD _Sheet1" xfId="310" xr:uid="{B2BA9238-C360-4E1C-925C-5D50669826B6}"/>
    <cellStyle name="_CB2E_Cash USD _USD Assets" xfId="311" xr:uid="{C54DCD29-DCEF-4EB5-85F8-B2C028F76789}"/>
    <cellStyle name="_CB2E_Current" xfId="312" xr:uid="{E86758B9-8B13-4351-98B4-9D6732C75B6D}"/>
    <cellStyle name="_CB2E_FWD conts" xfId="313" xr:uid="{30618FC0-7C17-430D-B3ED-E7F9956C9486}"/>
    <cellStyle name="_CB2E_GDA_Q2" xfId="314" xr:uid="{2FAE5119-A78F-4C85-8236-0E7EEB458ABE}"/>
    <cellStyle name="_CB2E_Jan 1st  MFT" xfId="315" xr:uid="{339E8818-3B05-4AF0-8532-E342C1BE2712}"/>
    <cellStyle name="_CB2E_Jan 1st MFT" xfId="316" xr:uid="{45A7B178-C2AC-4B51-80A5-EF56A3EB2BEF}"/>
    <cellStyle name="_CB2E_KBFP BBG FORMULAS" xfId="317" xr:uid="{D831D4CB-994E-4190-9BF2-EE22383B9CB0}"/>
    <cellStyle name="_CB2E_KBFP BBG FORMULAS_Sheet1" xfId="318" xr:uid="{548C841F-2F13-40A3-A3CD-0D65D7950833}"/>
    <cellStyle name="_CB2E_NAVs-SM" xfId="319" xr:uid="{56C1563F-874E-4FBD-A60E-CEDA772FF9B8}"/>
    <cellStyle name="_CB2E_Net Subs" xfId="320" xr:uid="{CBC61FD5-BE7E-42AC-8D63-9A9F52165F63}"/>
    <cellStyle name="_CB2E_Pending" xfId="321" xr:uid="{888A626F-B0AB-44AA-B860-0D2A8437096E}"/>
    <cellStyle name="_CB2E_Prices" xfId="322" xr:uid="{EB98466E-A2F0-449C-AA6E-57788628AE0C}"/>
    <cellStyle name="_CB2E_Prior Month" xfId="323" xr:uid="{CB5CEB7C-70B3-42EA-BC35-4C95A105879B}"/>
    <cellStyle name="_CB2E_Prior month - FWD" xfId="324" xr:uid="{0DE064B3-1F0D-4B26-9615-02C12D9EF911}"/>
    <cellStyle name="_CB2E_Prior month - FWD GL msa II" xfId="325" xr:uid="{5F52000D-7C91-4303-859E-F1E6D8DA675B}"/>
    <cellStyle name="_CB2E_Rec" xfId="326" xr:uid="{8A7F62C1-FE24-421F-B07D-6FC3732FE007}"/>
    <cellStyle name="_CB2E_Recalc" xfId="327" xr:uid="{B6C95229-AEDB-4B75-9D96-D6A4EA5D5CA0}"/>
    <cellStyle name="_CB2E_SEPT 11 EST" xfId="328" xr:uid="{61575E62-B963-4A15-8BE1-AFADE837E7CC}"/>
    <cellStyle name="_CB2E_SEPT 11 EST 2" xfId="329" xr:uid="{A06E495B-77ED-4678-9F2A-6D5FE36B8AE0}"/>
    <cellStyle name="_CB2E_SEPT 11 EST_Sheet1" xfId="330" xr:uid="{B2C1DA42-0237-4EC4-9868-CD58C93A2C47}"/>
    <cellStyle name="_CB2E_Sheet1" xfId="331" xr:uid="{F431E0B0-3F1E-4179-952D-A74CB92785C5}"/>
    <cellStyle name="_CB2E_Sheet1_1" xfId="332" xr:uid="{8393A8F4-22DD-44EB-BD57-EA4669F28731}"/>
    <cellStyle name="_CB2E_Sheet1_1_NAVs-SM" xfId="333" xr:uid="{54261147-6D9B-4470-BAAE-F3971E5F1810}"/>
    <cellStyle name="_CB2E_Sheet1_1_Sheet1" xfId="334" xr:uid="{C09FC14F-F7E8-4EF6-809E-CFFCD60C663C}"/>
    <cellStyle name="_CB2E_Sheet1_2" xfId="335" xr:uid="{DF643DE8-6C48-41C0-AA6C-4EA864C95119}"/>
    <cellStyle name="_CB2E_Sheet1_Sheet1" xfId="336" xr:uid="{956D0916-1152-47DE-B0B3-8BFAEFB5AD39}"/>
    <cellStyle name="_CB2E_Summary" xfId="337" xr:uid="{C439A671-A4FE-4BB6-945D-0B27E56825F9}"/>
    <cellStyle name="_CB2E_TRAC BBG FORMULAS" xfId="338" xr:uid="{3D6BB697-2149-4496-BFA8-F4FEC8AAE7CA}"/>
    <cellStyle name="_CB2E_TRAC BBG FORMULAS_Sheet1" xfId="339" xr:uid="{19A9E206-FB4A-421D-97E8-E04354E717CE}"/>
    <cellStyle name="_CB2E_USD Assets" xfId="340" xr:uid="{5EFACC3B-5E25-4FF8-A38D-87A946D3F6FA}"/>
    <cellStyle name="_CDS-Int (RealGL)" xfId="341" xr:uid="{10F367E2-7A1E-4CB9-A3C4-F7CF9B79A1DD}"/>
    <cellStyle name="_Chicago &amp; London" xfId="342" xr:uid="{0B4C2099-0B73-4875-AC90-078933831EF8}"/>
    <cellStyle name="_Chicago &amp; London 2" xfId="343" xr:uid="{FC513E9C-6408-4E9D-9BC8-5804FF4DEA42}"/>
    <cellStyle name="_Chicago &amp; London_Sheet1" xfId="344" xr:uid="{666F98E9-BF67-4054-96E9-363063BF9350}"/>
    <cellStyle name="_Chicago Options" xfId="345" xr:uid="{D193D01B-7FAE-41ED-B8F7-50D2787D2028}"/>
    <cellStyle name="_Chicago Options 2" xfId="346" xr:uid="{9923B5B8-2A6C-401D-ABE3-5F1BB6E81C90}"/>
    <cellStyle name="_Chicago Options_Sheet1" xfId="347" xr:uid="{ECEA01F6-A683-46D0-A205-B712F86D5D96}"/>
    <cellStyle name="_Citi - Rec" xfId="348" xr:uid="{AB6A2C43-024C-470B-A4AC-B4F9BC4658DE}"/>
    <cellStyle name="_Citi - Rec 2" xfId="349" xr:uid="{453DE1C6-6E24-4010-8C85-B9D64E345629}"/>
    <cellStyle name="_Citi - Rec_Sheet1" xfId="350" xr:uid="{6C1F5E7F-158B-49D4-B45A-CE5B3B669400}"/>
    <cellStyle name="_Collateral Pool" xfId="351" xr:uid="{C52D468B-0AA5-40C9-BEBA-6C1CE40D92DF}"/>
    <cellStyle name="_Collateral Pool 2" xfId="352" xr:uid="{8C840B5B-D311-4CD2-BEB2-81538B160A5D}"/>
    <cellStyle name="_Collateral Pool_Sheet1" xfId="353" xr:uid="{60A57F74-7346-4636-8B9E-37E9151FC757}"/>
    <cellStyle name="_Comma" xfId="354" xr:uid="{E594FE3B-5D10-4FC8-8D8A-92A038B7D86A}"/>
    <cellStyle name="_Comma 2" xfId="355" xr:uid="{775CB30B-22D2-4CFA-A7A3-220F99CA2510}"/>
    <cellStyle name="_Complan Roll" xfId="356" xr:uid="{127E132E-8100-4C11-B811-7D135A366E6F}"/>
    <cellStyle name="_Copy of A2 - FS Support - CB2E Onshore LLC 12-31-08" xfId="357" xr:uid="{D0E44164-A71B-4DC5-A0D3-8EEE88BFAA53}"/>
    <cellStyle name="_Copy of A2 - FS Support - CB2E Onshore LLC 12-31-08 2" xfId="358" xr:uid="{C55C2758-EDB1-43BD-92F5-0EF721B81383}"/>
    <cellStyle name="_Copy of A2 - FS Support - CB2E Onshore LLC 12-31-08_Sheet1" xfId="359" xr:uid="{2450B0B7-4D9D-4386-A5AF-C9594523ADA4}"/>
    <cellStyle name="_Copy of A2 BMHF FS 12.31.07 (Adjusted)" xfId="360" xr:uid="{F44711F9-DAA8-499B-88D8-D7518E07EA99}"/>
    <cellStyle name="_Cpty" xfId="361" xr:uid="{5904051F-34B0-4296-B2DE-2F64E77E5D40}"/>
    <cellStyle name="_Cpty 2" xfId="362" xr:uid="{D6DCEE02-D9A0-464B-B16E-70C57C700A47}"/>
    <cellStyle name="_Cpty_ Cash USD " xfId="363" xr:uid="{2399D255-33E4-4C7F-8AD4-B6C6CA5468F8}"/>
    <cellStyle name="_Cpty_2-Assets" xfId="364" xr:uid="{7B0C14C5-90F6-4A37-85A3-B2630470CD54}"/>
    <cellStyle name="_Cpty_2-Assets 2" xfId="365" xr:uid="{A4AFF46C-CAA9-44F9-9C06-6A7F0E8168C9}"/>
    <cellStyle name="_Cpty_2-Assets_Sheet1" xfId="366" xr:uid="{DA967B34-44CA-4DCD-B5B1-1F4ECA7616AB}"/>
    <cellStyle name="_Cpty_BBG TRAC FORMULAS" xfId="367" xr:uid="{8464AD33-C243-497E-B82D-FBFB8BA624EE}"/>
    <cellStyle name="_Cpty_BBG TRAC FORMULAS_Sheet1" xfId="368" xr:uid="{3419DAF2-17DA-4494-BB41-9D6C3FE626BE}"/>
    <cellStyle name="_Cpty_BBG_bonds March 09 (2)" xfId="369" xr:uid="{20E58986-7C94-4648-8253-A99FCF17E122}"/>
    <cellStyle name="_Cpty_BBG_bonds March 09 (2)_Sheet1" xfId="370" xr:uid="{B860FD4D-8C3B-4104-8DFB-589B6212B907}"/>
    <cellStyle name="_Cpty_BGN BBG" xfId="371" xr:uid="{20C07BEC-64A1-47B5-A781-B6C9F4C1A504}"/>
    <cellStyle name="_Cpty_BGN BBG FORMULAS" xfId="372" xr:uid="{80FE6915-572F-4919-98C6-7919B12C1EEF}"/>
    <cellStyle name="_Cpty_BGN BBG FORMULAS_Sheet1" xfId="373" xr:uid="{3FFBA3E6-02D9-46AC-A27B-A179078B9755}"/>
    <cellStyle name="_Cpty_BGN BBG_Sheet1" xfId="374" xr:uid="{FBD1C4C6-DAD2-42F5-929E-C18290E41E18}"/>
    <cellStyle name="_Cpty_BVAL BBG FORMULAS" xfId="375" xr:uid="{D762B3C0-340E-437A-AFE4-0BD3D72E99CD}"/>
    <cellStyle name="_Cpty_BVAL BBG FORMULAS_Sheet1" xfId="376" xr:uid="{CB0692CC-5C78-40E2-98B9-2CB1F1DEB0AD}"/>
    <cellStyle name="_Cpty_Cash USD" xfId="377" xr:uid="{4638338D-6E7C-4EB0-8983-12BA9E059D47}"/>
    <cellStyle name="_Cpty_Cash USD " xfId="378" xr:uid="{80807648-E212-448B-9F53-F8181E1A4A51}"/>
    <cellStyle name="_Cpty_Cash USD _Current" xfId="379" xr:uid="{ACA7FB89-AECF-4A0F-8FD2-BCDC9ED299E1}"/>
    <cellStyle name="_Cpty_Cash USD _FWD conts" xfId="380" xr:uid="{348C3BF8-FFE2-446D-8285-4879029C5D87}"/>
    <cellStyle name="_Cpty_Cash USD _FWD conts_Current" xfId="381" xr:uid="{F176C732-FD74-4881-96AB-1AC10005340D}"/>
    <cellStyle name="_Cpty_Cash USD _FWD conts_Pending" xfId="382" xr:uid="{F4560AB9-16A8-4327-96F7-FD009AFA5413}"/>
    <cellStyle name="_Cpty_Cash USD _FWD conts_Prior month - FWD" xfId="383" xr:uid="{3544EC65-00D5-440D-8674-84DD6687744A}"/>
    <cellStyle name="_Cpty_Cash USD _FWD conts_Prior month - FWD GL msa II" xfId="384" xr:uid="{F4A4A126-D46A-4083-873B-077F36F0499A}"/>
    <cellStyle name="_Cpty_Cash USD _FWD conts_Recalc" xfId="385" xr:uid="{113B01FB-8950-41D7-ABF9-330865B3A804}"/>
    <cellStyle name="_Cpty_Cash USD _FWD conts_USD Assets" xfId="386" xr:uid="{7644BB47-2850-4EC5-A078-4D07DDF5593A}"/>
    <cellStyle name="_Cpty_Cash USD _Jan 1st MFT" xfId="387" xr:uid="{6D7C2D9F-7188-429D-ACBD-ACE36ACDEF16}"/>
    <cellStyle name="_Cpty_Cash USD _Pending" xfId="388" xr:uid="{213AB7C2-444F-42FA-98A1-4F83D00CE15B}"/>
    <cellStyle name="_Cpty_Cash USD _Prior month - FWD GL msa II" xfId="389" xr:uid="{3213DA07-772E-413C-83E5-98038BFF3E05}"/>
    <cellStyle name="_Cpty_Cash USD _Recalc" xfId="390" xr:uid="{ECFAA556-C8A3-49AD-90B7-18A1F65AB91B}"/>
    <cellStyle name="_Cpty_Cash USD _Sheet1" xfId="391" xr:uid="{7E320977-EF6E-4B9C-BBF6-36B049C93767}"/>
    <cellStyle name="_Cpty_Cash USD _USD Assets" xfId="392" xr:uid="{3498C145-38BF-4719-AFA3-FDD45F87C0A2}"/>
    <cellStyle name="_Cpty_Current" xfId="393" xr:uid="{78643648-F435-441B-B2A6-AD290378BFE0}"/>
    <cellStyle name="_Cpty_FWD conts" xfId="394" xr:uid="{239C09BE-6120-4DA9-8158-0D3A159C4F70}"/>
    <cellStyle name="_Cpty_GDA_Q2" xfId="395" xr:uid="{BEED52EC-0BE5-4862-821D-2C1ADAA6F052}"/>
    <cellStyle name="_Cpty_Jan 1st  MFT" xfId="396" xr:uid="{9E9533DB-8B2C-4050-A819-ADF1EADDD1DB}"/>
    <cellStyle name="_Cpty_Jan 1st MFT" xfId="397" xr:uid="{FCE22051-2556-4049-A270-B46189CEEE87}"/>
    <cellStyle name="_Cpty_KBFP BBG FORMULAS" xfId="398" xr:uid="{727A0B06-00C6-4841-AEED-69C6CBE95CD3}"/>
    <cellStyle name="_Cpty_KBFP BBG FORMULAS_Sheet1" xfId="399" xr:uid="{C20BAC54-E678-477D-9BA4-12A796F590E5}"/>
    <cellStyle name="_Cpty_NAVs-SM" xfId="400" xr:uid="{4120C38E-8F46-4AF9-8CD3-E3B0D127DB05}"/>
    <cellStyle name="_Cpty_Net Subs" xfId="401" xr:uid="{AAAD8E5B-DD7B-4CBF-B999-A6C80AFE4847}"/>
    <cellStyle name="_Cpty_Pending" xfId="402" xr:uid="{9ACF16F9-91CA-44C2-B6EE-18C4318FFC14}"/>
    <cellStyle name="_Cpty_Prices" xfId="403" xr:uid="{1F2B3724-CED0-48E5-9861-D758550A98DD}"/>
    <cellStyle name="_Cpty_Prior Month" xfId="404" xr:uid="{224C77EE-6C7A-45B5-97BC-C3CADC123E15}"/>
    <cellStyle name="_Cpty_Prior month - FWD" xfId="405" xr:uid="{1C5F9AEA-3442-4173-821F-4023DBCF180E}"/>
    <cellStyle name="_Cpty_Prior month - FWD GL msa II" xfId="406" xr:uid="{EF9CA8A2-6C79-4DAB-A127-C73CE99AC617}"/>
    <cellStyle name="_Cpty_Rec" xfId="407" xr:uid="{83DD7422-2AF7-455D-9287-4B8BB673DBB0}"/>
    <cellStyle name="_Cpty_Recalc" xfId="408" xr:uid="{3068CD93-2194-47D2-93E5-F1A44FE31741}"/>
    <cellStyle name="_Cpty_SEPT 11 EST" xfId="409" xr:uid="{F3BE69B4-6292-4521-8900-500BAF677FB6}"/>
    <cellStyle name="_Cpty_SEPT 11 EST 2" xfId="410" xr:uid="{024378B2-771F-4252-A124-FCFB2C42F29D}"/>
    <cellStyle name="_Cpty_SEPT 11 EST_Sheet1" xfId="411" xr:uid="{F122D835-5449-40D5-AB05-0D3CDCEAA726}"/>
    <cellStyle name="_Cpty_Sheet1" xfId="412" xr:uid="{3AD777C1-AE2A-49C4-A127-907277552A97}"/>
    <cellStyle name="_Cpty_Sheet1_1" xfId="413" xr:uid="{999692AC-4A1A-4A30-86BE-D298788C49F9}"/>
    <cellStyle name="_Cpty_Sheet1_1_NAVs-SM" xfId="414" xr:uid="{10F8F3A1-F952-4FF6-9B18-15B1361BB6B9}"/>
    <cellStyle name="_Cpty_Sheet1_1_Sheet1" xfId="415" xr:uid="{53DB8ED6-D058-45B0-96AF-95F47D6F5826}"/>
    <cellStyle name="_Cpty_Sheet1_2" xfId="416" xr:uid="{B195E64A-D5AB-41D1-8A06-7C7CE75291C2}"/>
    <cellStyle name="_Cpty_Sheet1_Sheet1" xfId="417" xr:uid="{AE376435-5B61-40F2-AED9-B4E14521E0BD}"/>
    <cellStyle name="_Cpty_Summary" xfId="418" xr:uid="{2998787D-D41B-45CF-B1F9-992121B00972}"/>
    <cellStyle name="_Cpty_TRAC BBG FORMULAS" xfId="419" xr:uid="{7451BC60-22D2-4F16-BB40-834C1DBE64D2}"/>
    <cellStyle name="_Cpty_TRAC BBG FORMULAS_Sheet1" xfId="420" xr:uid="{6312F084-3922-450C-941D-FD45B44690DB}"/>
    <cellStyle name="_Cpty_USD Assets" xfId="421" xr:uid="{CF87CFCA-18D2-4EB0-8807-BF1363356746}"/>
    <cellStyle name="_Credit Opps Exposure_11 09 06" xfId="422" xr:uid="{3841C250-8B86-4404-B4BD-61B43356E8F2}"/>
    <cellStyle name="_Credit Opps Exposure_11 09 06 2" xfId="423" xr:uid="{241D1956-FADF-427C-94F9-427852224158}"/>
    <cellStyle name="_Credit Opps Exposure_11 09 06_Sheet1" xfId="424" xr:uid="{A46402F2-AB9D-4AB4-8ACA-5EDC3C6904C8}"/>
    <cellStyle name="_CSOI Aexeo Template (Bloomberg Download)" xfId="425" xr:uid="{2FE540FE-32A0-48AD-B656-C4E0105FB161}"/>
    <cellStyle name="_CSOP IS Topsides Sent_3" xfId="426" xr:uid="{50C4CD19-6F01-4F16-89BB-EF4044D721C5}"/>
    <cellStyle name="_Currency" xfId="427" xr:uid="{117C672D-451C-427E-9B29-ECE7012F8F74}"/>
    <cellStyle name="_Currency 2" xfId="428" xr:uid="{EF8BF0E5-8591-45BF-A13E-797C13F24940}"/>
    <cellStyle name="_CurrencySpace" xfId="429" xr:uid="{E521B62F-7058-4C5C-84CF-20C21FFD4F07}"/>
    <cellStyle name="_CurrencySpace 2" xfId="430" xr:uid="{5626B392-E267-4792-A365-E9D025091E7E}"/>
    <cellStyle name="_Current" xfId="431" xr:uid="{C63DD591-4751-4245-BA14-E30E6DD049BC}"/>
    <cellStyle name="_CurrentFile" xfId="432" xr:uid="{4EF0B510-0681-406D-AB62-0684FC637118}"/>
    <cellStyle name="_CVTS" xfId="433" xr:uid="{BE55A61B-2A2B-4656-A1B1-147D4B7ED0F7}"/>
    <cellStyle name="_CVTS 2" xfId="434" xr:uid="{7C79202C-EB2B-4012-85EC-C265E6A532DF}"/>
    <cellStyle name="_CVTS_ Cash USD " xfId="435" xr:uid="{0DCD672C-D2B1-4A5D-B4F6-9988AC6A066B}"/>
    <cellStyle name="_CVTS_1" xfId="436" xr:uid="{1A9F1FD0-DB28-4861-8438-64A3DFD110E8}"/>
    <cellStyle name="_CVTS_1 2" xfId="437" xr:uid="{D648E1ED-D9C0-4E25-B415-F7DF9452C902}"/>
    <cellStyle name="_CVTS_1_Sheet1" xfId="438" xr:uid="{A70EE642-BB69-4E2C-AD01-51C7BC69BEC7}"/>
    <cellStyle name="_CVTS_2-Assets" xfId="439" xr:uid="{10714932-C612-4205-B488-B3354C6C5218}"/>
    <cellStyle name="_CVTS_2-Assets 2" xfId="440" xr:uid="{6096BBDF-2310-441D-8E6C-FEF4B9EB9D02}"/>
    <cellStyle name="_CVTS_2-Assets_Sheet1" xfId="441" xr:uid="{3BD654B0-6767-4FE5-85C6-E648C743BF90}"/>
    <cellStyle name="_CVTS_BBG TRAC FORMULAS" xfId="442" xr:uid="{FC1E0384-65DA-4B04-934F-AA712FCD177F}"/>
    <cellStyle name="_CVTS_BBG TRAC FORMULAS_Sheet1" xfId="443" xr:uid="{BBC707C7-20F1-4A7E-9870-8F557B3DF82C}"/>
    <cellStyle name="_CVTS_BBG_bonds March 09 (2)" xfId="444" xr:uid="{D2879C27-DD43-4B9A-8EB7-294D9EACF23B}"/>
    <cellStyle name="_CVTS_BBG_bonds March 09 (2)_Sheet1" xfId="445" xr:uid="{FF9F5D2C-E232-4BD1-AC5F-A6D6096968B9}"/>
    <cellStyle name="_CVTS_BGN BBG" xfId="446" xr:uid="{29DEA8FC-A7D6-4643-A02A-52E6C6C1EE92}"/>
    <cellStyle name="_CVTS_BGN BBG FORMULAS" xfId="447" xr:uid="{CC2472FE-1289-49AA-9ACA-4707B035E05E}"/>
    <cellStyle name="_CVTS_BGN BBG FORMULAS_Sheet1" xfId="448" xr:uid="{4DC5B64E-FACE-4670-9341-A3EEBDE00F49}"/>
    <cellStyle name="_CVTS_BGN BBG_Sheet1" xfId="449" xr:uid="{A102C328-1DB4-42EC-BBB3-9127B243C29F}"/>
    <cellStyle name="_CVTS_BVAL BBG FORMULAS" xfId="450" xr:uid="{C0570FA0-FEAB-4F49-B41E-B971E5D7F66C}"/>
    <cellStyle name="_CVTS_BVAL BBG FORMULAS_Sheet1" xfId="451" xr:uid="{FC76E73B-E805-49C0-998E-890FF7F1F161}"/>
    <cellStyle name="_CVTS_Cash USD" xfId="452" xr:uid="{C0E0901B-89E2-4EE8-9C1E-E90A8E2B356E}"/>
    <cellStyle name="_CVTS_Cash USD " xfId="453" xr:uid="{6BD266A6-44DB-4FD9-9230-08027DC0BDEC}"/>
    <cellStyle name="_CVTS_Cash USD _Current" xfId="454" xr:uid="{3F147073-2F82-41DB-8254-E18A8069FA5D}"/>
    <cellStyle name="_CVTS_Cash USD _FWD conts" xfId="455" xr:uid="{034A95F5-1BF8-494E-B676-D61F482A70F5}"/>
    <cellStyle name="_CVTS_Cash USD _FWD conts_Current" xfId="456" xr:uid="{1BA49943-2385-4123-8F67-F280967BB7A2}"/>
    <cellStyle name="_CVTS_Cash USD _FWD conts_Pending" xfId="457" xr:uid="{057931C8-3C8D-4085-B6B4-C1B2DBE481FC}"/>
    <cellStyle name="_CVTS_Cash USD _FWD conts_Prior month - FWD" xfId="458" xr:uid="{436BAEDF-1A52-43ED-93C7-EC8EA9DD0D3C}"/>
    <cellStyle name="_CVTS_Cash USD _FWD conts_Prior month - FWD GL msa II" xfId="459" xr:uid="{3808C891-0D35-4EAF-9D54-1F92DB3E6517}"/>
    <cellStyle name="_CVTS_Cash USD _FWD conts_Recalc" xfId="460" xr:uid="{4E90DE3E-192E-4853-98BC-B5C85DB71C89}"/>
    <cellStyle name="_CVTS_Cash USD _FWD conts_USD Assets" xfId="461" xr:uid="{0E599377-BA7A-495F-9BFA-0E6A76F56997}"/>
    <cellStyle name="_CVTS_Cash USD _Jan 1st MFT" xfId="462" xr:uid="{B024C358-FCC1-47D9-9A29-92AC73504AEA}"/>
    <cellStyle name="_CVTS_Cash USD _Pending" xfId="463" xr:uid="{671A650A-AD0D-4980-8CCC-0B8C75078B62}"/>
    <cellStyle name="_CVTS_Cash USD _Prior month - FWD GL msa II" xfId="464" xr:uid="{64A5A9F1-8F62-4DB6-AE9A-A3DD8C9079E1}"/>
    <cellStyle name="_CVTS_Cash USD _Recalc" xfId="465" xr:uid="{83D9A115-69F1-44C0-AAF2-BF53F5BA79AA}"/>
    <cellStyle name="_CVTS_Cash USD _Sheet1" xfId="466" xr:uid="{23614B93-693F-440B-A67E-393D6E479DD5}"/>
    <cellStyle name="_CVTS_Cash USD _USD Assets" xfId="467" xr:uid="{906D642C-F59C-438D-9EB6-CAB75542BEF9}"/>
    <cellStyle name="_CVTS_Current" xfId="468" xr:uid="{ED4FFBCD-A2C8-4868-957E-FDF26F74079D}"/>
    <cellStyle name="_CVTS_FWD conts" xfId="469" xr:uid="{FDDDAA2A-89F7-4DEB-8331-E89998E45A7A}"/>
    <cellStyle name="_CVTS_GDA_Q2" xfId="470" xr:uid="{36BA1D95-553E-4C8E-BC36-75A7AA60CE53}"/>
    <cellStyle name="_CVTS_Jan 1st  MFT" xfId="471" xr:uid="{9296B957-0CFE-4177-B8C1-F4DB6978688E}"/>
    <cellStyle name="_CVTS_Jan 1st MFT" xfId="472" xr:uid="{9FB1D197-4D04-4B95-ADAC-60ECB46E5B85}"/>
    <cellStyle name="_CVTS_KBFP BBG FORMULAS" xfId="473" xr:uid="{B1A8D566-70A6-40B2-A41B-DA00A1100ECA}"/>
    <cellStyle name="_CVTS_KBFP BBG FORMULAS_Sheet1" xfId="474" xr:uid="{A9EC643D-8E00-491E-ACC8-32143E8C2049}"/>
    <cellStyle name="_CVTS_NAVs-SM" xfId="475" xr:uid="{69337D84-F202-41A9-A8E9-8DB122AF5F86}"/>
    <cellStyle name="_CVTS_Net Subs" xfId="476" xr:uid="{2355311F-D142-4E1A-ABAD-BAADAA46A375}"/>
    <cellStyle name="_CVTS_Pending" xfId="477" xr:uid="{665F4D91-74FB-47EF-9EE8-5D3A38603E57}"/>
    <cellStyle name="_CVTS_Prices" xfId="478" xr:uid="{4F192277-801E-4911-A519-843849E403EC}"/>
    <cellStyle name="_CVTS_Prior Month" xfId="479" xr:uid="{F600486E-1B1F-4CDB-985A-07B057B6C09F}"/>
    <cellStyle name="_CVTS_Prior month - FWD" xfId="480" xr:uid="{2773BE92-84B9-47A6-83E3-0C392F513D2D}"/>
    <cellStyle name="_CVTS_Prior month - FWD GL msa II" xfId="481" xr:uid="{B85F2D61-CA77-4829-8387-7F87552CD839}"/>
    <cellStyle name="_CVTS_Rec" xfId="482" xr:uid="{D380FC82-A17D-48AC-A748-9C696F1CE6C9}"/>
    <cellStyle name="_CVTS_Recalc" xfId="483" xr:uid="{E07D0CA1-9B17-490B-B177-372D98E5233B}"/>
    <cellStyle name="_CVTS_SEPT 11 EST" xfId="484" xr:uid="{FAFF1F36-C9E1-475B-8AE3-1812ED2614FA}"/>
    <cellStyle name="_CVTS_SEPT 11 EST 2" xfId="485" xr:uid="{8CA72D7A-C96A-4050-B4B3-9E9703EF0679}"/>
    <cellStyle name="_CVTS_SEPT 11 EST_Sheet1" xfId="486" xr:uid="{711784EF-A62D-4622-8068-D8BB52B10516}"/>
    <cellStyle name="_CVTS_Sheet1" xfId="487" xr:uid="{215CC0D1-1626-47FA-B8DA-8F0FE3DC8E50}"/>
    <cellStyle name="_CVTS_Sheet1_1" xfId="488" xr:uid="{803A8472-3E3C-457B-8741-A070959D73D3}"/>
    <cellStyle name="_CVTS_Sheet1_1_NAVs-SM" xfId="489" xr:uid="{3C665310-2B5D-4EF9-BAC4-AEA51C823712}"/>
    <cellStyle name="_CVTS_Sheet1_1_Sheet1" xfId="490" xr:uid="{6EFE1DA5-EEFF-4FEE-A4E3-7AE01986D83B}"/>
    <cellStyle name="_CVTS_Sheet1_2" xfId="491" xr:uid="{AD34F10D-FF0F-4CC5-AF02-3E142BD4EA0C}"/>
    <cellStyle name="_CVTS_Sheet1_Sheet1" xfId="492" xr:uid="{78F4EA5C-5BBA-4EFF-A5F1-9427001B28C5}"/>
    <cellStyle name="_CVTS_Summary" xfId="493" xr:uid="{40F1536A-E4C9-4D07-9434-4512BFD0CD20}"/>
    <cellStyle name="_CVTS_TRAC BBG FORMULAS" xfId="494" xr:uid="{9FBBCFF4-8B62-4F29-B660-C586A505BE56}"/>
    <cellStyle name="_CVTS_TRAC BBG FORMULAS_Sheet1" xfId="495" xr:uid="{BC2B9742-AD87-4F28-8CD0-40977564F1A0}"/>
    <cellStyle name="_CVTS_USD Assets" xfId="496" xr:uid="{C4166962-7159-4561-8FEA-92CCC6B7AE7F}"/>
    <cellStyle name="_D2 - Topside Entries (FIN 39)" xfId="497" xr:uid="{C1591898-E884-4137-9C1B-4FF9ECF6E013}"/>
    <cellStyle name="_D2 - Topside Entries (FIN 39) 2" xfId="498" xr:uid="{2048B6FB-2BB8-40DE-8DF7-2FB9D010FF54}"/>
    <cellStyle name="_D2 - Topside Entries (FIN 39)_Sheet1" xfId="499" xr:uid="{89681B57-FFE3-4511-A139-5A8FE5979384}"/>
    <cellStyle name="_D2.1 IS Topside Entries - CVTS 12-31-08" xfId="500" xr:uid="{F5CFA694-C631-4970-965A-19B350F123E0}"/>
    <cellStyle name="_DB-AUD" xfId="501" xr:uid="{1447BD62-4CDE-4C6E-9897-C53B772BC627}"/>
    <cellStyle name="_DB-USD" xfId="502" xr:uid="{D1016601-2601-404B-AE1B-6CA2160F4054}"/>
    <cellStyle name="_DB-USD_1" xfId="503" xr:uid="{DF15F0E3-3223-4833-8654-BC1CDCAA642A}"/>
    <cellStyle name="_DB-USD_1_BCHF_DB_ 12_18_07" xfId="504" xr:uid="{EB033AE2-C147-40A0-85FA-2578CDBF6E71}"/>
    <cellStyle name="_DECEMBER 31-2010" xfId="505" xr:uid="{ABF6BAE8-C14B-4B72-B429-63030001C10B}"/>
    <cellStyle name="_Div Payable" xfId="506" xr:uid="{BBFB3408-2015-400F-A3E4-CE6E5B6BF436}"/>
    <cellStyle name="_Div Payable_A2 BMHF FS 9.30.08" xfId="507" xr:uid="{F0691832-859D-41B8-A06F-FAE106B2F203}"/>
    <cellStyle name="_Div Payable_Adjustment Summary" xfId="508" xr:uid="{66924233-3922-4A9E-89A0-1FC73D73AD09}"/>
    <cellStyle name="_Div Payable_BS reclass for CDS interest_swap financing interest_swap dividend" xfId="509" xr:uid="{1BB6FE58-A0E0-449D-89BA-A4CE2CC3DC41}"/>
    <cellStyle name="_Div Payable_CDS-Int (RealGL)" xfId="510" xr:uid="{C8F86253-0FA3-4D69-AC6B-466D7863B9E7}"/>
    <cellStyle name="_Div Payable_D2 - Topside Entries (FIN 39)" xfId="511" xr:uid="{1761D713-237F-4B4F-B91B-805E433D98CA}"/>
    <cellStyle name="_Div Payable_ED - top side adjustments - 12.31.07" xfId="512" xr:uid="{975985AA-E52D-462A-AF59-7A49CA429493}"/>
    <cellStyle name="_Div Payable_IS reclass for Dividend and Interest" xfId="513" xr:uid="{C9C6B3A6-A69B-43F8-971E-BE4EF16DF6F4}"/>
    <cellStyle name="_Div Payable_OTE (CDS)" xfId="514" xr:uid="{73FC0B84-54C1-4141-9FE1-7011A44F6B34}"/>
    <cellStyle name="_Div Payable_Sheet1" xfId="515" xr:uid="{5354690C-60F0-47BD-A260-3918E2C9F478}"/>
    <cellStyle name="_Div Payable_Sheet2" xfId="516" xr:uid="{B0347C1B-E844-472A-BA91-D4260D5A27B5}"/>
    <cellStyle name="_Div Payable_swap div-(RealGL)" xfId="517" xr:uid="{BF04BE65-9BC6-4781-92CF-02AC20F704F8}"/>
    <cellStyle name="_Div Payable_swap div-(Unreal)" xfId="518" xr:uid="{1D54EB4F-E4A7-4747-85D3-3E510543B2FF}"/>
    <cellStyle name="_Div Payable_Swap Dividends" xfId="519" xr:uid="{88239953-89DC-43B0-B0BD-41EC37D3546C}"/>
    <cellStyle name="_Div Payable_Top_Side_Adjustments V1" xfId="520" xr:uid="{4C51B8F1-8E6E-41FD-8031-3DE55A12A7A1}"/>
    <cellStyle name="_Div Receivable" xfId="521" xr:uid="{530E018E-1872-4954-8C2A-A7A71D3BA2D9}"/>
    <cellStyle name="_Div Receivable_A2 BMHF FS 9.30.08" xfId="522" xr:uid="{562210D0-FA39-4A48-9FB3-2FD1E79CAA73}"/>
    <cellStyle name="_Div Receivable_Adjustment Summary" xfId="523" xr:uid="{F446894C-444F-4E3C-B9AC-2E61E89BA117}"/>
    <cellStyle name="_Div Receivable_BS reclass for CDS interest_swap financing interest_swap dividend" xfId="524" xr:uid="{8AA29867-93E2-4E6F-9815-585CB9D99413}"/>
    <cellStyle name="_Div Receivable_CDS-Int (RealGL)" xfId="525" xr:uid="{866FE675-EA23-4EB4-9E9A-76F406523E5F}"/>
    <cellStyle name="_Div Receivable_D2 - Topside Entries (FIN 39)" xfId="526" xr:uid="{56CA29EB-0B00-4652-B0A4-07523AF6B824}"/>
    <cellStyle name="_Div Receivable_ED - top side adjustments - 12.31.07" xfId="527" xr:uid="{B2CB5A79-92CE-400E-ABA7-AAE28BECCDBA}"/>
    <cellStyle name="_Div Receivable_IS reclass for Dividend and Interest" xfId="528" xr:uid="{8C8E4234-8132-48F0-AB77-A6474873D256}"/>
    <cellStyle name="_Div Receivable_OTE (CDS)" xfId="529" xr:uid="{8C486110-A818-4FD8-B49E-BF85C0509AFA}"/>
    <cellStyle name="_Div Receivable_Sheet1" xfId="530" xr:uid="{8C637E4F-473B-49F7-93E9-6277491E6469}"/>
    <cellStyle name="_Div Receivable_Sheet2" xfId="531" xr:uid="{B343637D-BD20-4188-BA85-C5C43D366494}"/>
    <cellStyle name="_Div Receivable_swap div-(RealGL)" xfId="532" xr:uid="{BE65A69E-2D6C-4635-9B4E-DECE97316254}"/>
    <cellStyle name="_Div Receivable_swap div-(Unreal)" xfId="533" xr:uid="{5FE2719F-2B53-456F-993C-322F2A73611D}"/>
    <cellStyle name="_Div Receivable_Swap Dividends" xfId="534" xr:uid="{D76BBAF8-C314-46B8-BA74-62735B48737B}"/>
    <cellStyle name="_Div Receivable_Top_Side_Adjustments V1" xfId="535" xr:uid="{3B5F4439-7559-4523-BAFB-997F2E5DC86F}"/>
    <cellStyle name="_E1 Unrealized Roll Forward " xfId="536" xr:uid="{0416AA5F-0C6A-4804-A180-71F72120CBDD}"/>
    <cellStyle name="_ED - top side adjustments - 12.31.07" xfId="537" xr:uid="{F49B593E-A868-4184-96C8-B1D11162A391}"/>
    <cellStyle name="_ED InvHedge Calc" xfId="538" xr:uid="{E39DD8DF-B99E-455D-8468-008CBC63085A}"/>
    <cellStyle name="_Equity Swaps" xfId="539" xr:uid="{68F2EFB6-4CE4-432B-A96F-09A76D947CE9}"/>
    <cellStyle name="_Equity Swaps 2" xfId="540" xr:uid="{3DD85F23-8F1C-4FB2-9B6C-2BC27EA120FC}"/>
    <cellStyle name="_Equity Swaps_ Cash USD " xfId="541" xr:uid="{E9532BA4-AB9C-4660-8E23-4DF86814013C}"/>
    <cellStyle name="_Equity Swaps_2-Assets" xfId="542" xr:uid="{503863A8-FEAC-4D1E-9CD3-0F87E4FFD83D}"/>
    <cellStyle name="_Equity Swaps_2-Assets 2" xfId="543" xr:uid="{938C3163-6009-4A9D-8662-C4C38ACCDD2A}"/>
    <cellStyle name="_Equity Swaps_2-Assets_Sheet1" xfId="544" xr:uid="{4BE81E7C-9320-4120-BF69-439244D400D3}"/>
    <cellStyle name="_Equity Swaps_BBG TRAC FORMULAS" xfId="545" xr:uid="{918574E5-16BD-4191-B88D-87F836154E47}"/>
    <cellStyle name="_Equity Swaps_BBG TRAC FORMULAS_Sheet1" xfId="546" xr:uid="{D9F750FF-72BB-4C5C-826A-33CC53239CBE}"/>
    <cellStyle name="_Equity Swaps_BBG_bonds March 09 (2)" xfId="547" xr:uid="{604F7F7A-6129-4F6D-A119-A92E4BD173D8}"/>
    <cellStyle name="_Equity Swaps_BBG_bonds March 09 (2)_Sheet1" xfId="548" xr:uid="{BF610F24-358A-4057-B201-5A90771B3AD8}"/>
    <cellStyle name="_Equity Swaps_BGN BBG" xfId="549" xr:uid="{6EBFBE78-30D7-413E-9D37-27FA084075D9}"/>
    <cellStyle name="_Equity Swaps_BGN BBG FORMULAS" xfId="550" xr:uid="{CD761CF6-CFA2-4FFB-9C18-5B832BFD492E}"/>
    <cellStyle name="_Equity Swaps_BGN BBG FORMULAS_Sheet1" xfId="551" xr:uid="{1B30E0CD-2AA4-4BAB-AD22-B0872AAF76FF}"/>
    <cellStyle name="_Equity Swaps_BGN BBG_Sheet1" xfId="552" xr:uid="{E3FF76D7-8C50-44F3-B2DE-CFC84EBDB00F}"/>
    <cellStyle name="_Equity Swaps_BVAL BBG FORMULAS" xfId="553" xr:uid="{CA2AD8EF-0CAC-4C2C-948A-9F4CED8FEAAA}"/>
    <cellStyle name="_Equity Swaps_BVAL BBG FORMULAS_Sheet1" xfId="554" xr:uid="{D1D849E6-1AA6-419D-9971-D5504A438B5C}"/>
    <cellStyle name="_Equity Swaps_Cash USD" xfId="555" xr:uid="{82A6ED22-B2FA-4014-A201-8780D18FFE01}"/>
    <cellStyle name="_Equity Swaps_Cash USD " xfId="556" xr:uid="{CF07B9FA-07D5-40CA-AE91-3E484FDCF357}"/>
    <cellStyle name="_Equity Swaps_Cash USD _Current" xfId="557" xr:uid="{3724A9AC-98A6-4BDB-B66E-20B06155A851}"/>
    <cellStyle name="_Equity Swaps_Cash USD _FWD conts" xfId="558" xr:uid="{143D6FD5-AB1C-4F3D-81CF-9F3F1578F05D}"/>
    <cellStyle name="_Equity Swaps_Cash USD _FWD conts_Current" xfId="559" xr:uid="{E9F0D354-12EB-482B-8448-52DF974EAFFB}"/>
    <cellStyle name="_Equity Swaps_Cash USD _FWD conts_Pending" xfId="560" xr:uid="{1AF7842A-6F26-4AEC-B817-E076735AAD17}"/>
    <cellStyle name="_Equity Swaps_Cash USD _FWD conts_Prior month - FWD" xfId="561" xr:uid="{D8670F84-C087-4AB8-BBAE-6A3F3CFC01C6}"/>
    <cellStyle name="_Equity Swaps_Cash USD _FWD conts_Prior month - FWD GL msa II" xfId="562" xr:uid="{6B7CB193-D70D-48E8-95CE-AF09C450C90A}"/>
    <cellStyle name="_Equity Swaps_Cash USD _FWD conts_Recalc" xfId="563" xr:uid="{80EB1456-30E1-467B-8DD1-DC0FE814BDB6}"/>
    <cellStyle name="_Equity Swaps_Cash USD _FWD conts_USD Assets" xfId="564" xr:uid="{CD447A7B-0420-4979-9161-1D58F23CE7A3}"/>
    <cellStyle name="_Equity Swaps_Cash USD _Jan 1st MFT" xfId="565" xr:uid="{7CB85FAB-92BD-4306-9BCA-4D63FF0BA93D}"/>
    <cellStyle name="_Equity Swaps_Cash USD _Pending" xfId="566" xr:uid="{14F65856-6B43-4721-8628-758DDBCFFD55}"/>
    <cellStyle name="_Equity Swaps_Cash USD _Prior month - FWD GL msa II" xfId="567" xr:uid="{C29BC64B-D0A3-492E-981E-76D8B9063936}"/>
    <cellStyle name="_Equity Swaps_Cash USD _Recalc" xfId="568" xr:uid="{0A1F61DF-B16C-46CD-BE29-5E0317479DFF}"/>
    <cellStyle name="_Equity Swaps_Cash USD _Sheet1" xfId="569" xr:uid="{24276437-A2AF-48BB-8266-93AC3768384A}"/>
    <cellStyle name="_Equity Swaps_Cash USD _USD Assets" xfId="570" xr:uid="{39C9F9A7-EB12-4C50-93A5-952156B54145}"/>
    <cellStyle name="_Equity Swaps_Current" xfId="571" xr:uid="{0747ACE8-A8C1-4B92-8CF8-F649DEBD56F0}"/>
    <cellStyle name="_Equity Swaps_FWD conts" xfId="572" xr:uid="{0BC35843-56C2-412D-9D6A-6AE7CC19D999}"/>
    <cellStyle name="_Equity Swaps_Jan 1st  MFT" xfId="573" xr:uid="{ABB6DD7A-748D-48F6-8A12-3A192C6BF8E3}"/>
    <cellStyle name="_Equity Swaps_Jan 1st MFT" xfId="574" xr:uid="{771A8C3E-023E-46E2-BD9C-5AA4805DB124}"/>
    <cellStyle name="_Equity Swaps_KBFP BBG FORMULAS" xfId="575" xr:uid="{F3DEEF86-D5CB-46A8-8B21-9678C1EBC470}"/>
    <cellStyle name="_Equity Swaps_KBFP BBG FORMULAS_Sheet1" xfId="576" xr:uid="{3A3B839A-E48D-4CCA-8885-AF53CD64156B}"/>
    <cellStyle name="_Equity Swaps_NAVs-SM" xfId="577" xr:uid="{A9D44ACE-D4E1-4794-A8A4-EEA65EB0557A}"/>
    <cellStyle name="_Equity Swaps_Pending" xfId="578" xr:uid="{3B23D9CD-BDD7-442F-87D1-DCCEE9773722}"/>
    <cellStyle name="_Equity Swaps_Prices" xfId="579" xr:uid="{1364A06C-5618-448A-9B91-909D9945AA0B}"/>
    <cellStyle name="_Equity Swaps_Prior Month" xfId="580" xr:uid="{82F279DC-AE41-4604-9A6F-78968DADD82D}"/>
    <cellStyle name="_Equity Swaps_Prior month - FWD" xfId="581" xr:uid="{6F2B9B11-E301-4EC6-B492-770580DBBD04}"/>
    <cellStyle name="_Equity Swaps_Prior month - FWD GL msa II" xfId="582" xr:uid="{68C890D8-F45D-4EC8-8B9B-7542A1E12E2A}"/>
    <cellStyle name="_Equity Swaps_Recalc" xfId="583" xr:uid="{88AF81AD-A283-4829-A40D-AC9531B22750}"/>
    <cellStyle name="_Equity Swaps_SEPT 11 EST" xfId="584" xr:uid="{4E87F423-54C3-4FA9-A710-7C651515B6F9}"/>
    <cellStyle name="_Equity Swaps_SEPT 11 EST 2" xfId="585" xr:uid="{9BDA96AD-5E38-4F0D-9AC4-EEC010FB47DA}"/>
    <cellStyle name="_Equity Swaps_SEPT 11 EST_Sheet1" xfId="586" xr:uid="{8CE74674-BE4A-45D5-8DB4-39B499F1E8BA}"/>
    <cellStyle name="_Equity Swaps_Sheet1" xfId="587" xr:uid="{CAF1F31C-CC7A-4C7B-AAA6-006C7619571A}"/>
    <cellStyle name="_Equity Swaps_Sheet1_1" xfId="588" xr:uid="{74A19923-0FCA-4CD0-9744-5BCBF9E5C614}"/>
    <cellStyle name="_Equity Swaps_Sheet1_1_NAVs-SM" xfId="589" xr:uid="{7AA7974F-9F85-4F80-9631-BB6FC53774E3}"/>
    <cellStyle name="_Equity Swaps_Sheet1_1_Sheet1" xfId="590" xr:uid="{E6AB6EDA-83A9-4882-842F-D455CEFDD077}"/>
    <cellStyle name="_Equity Swaps_Sheet1_2" xfId="591" xr:uid="{75C7FAB2-EA83-499B-8F78-0CB0CBD8C142}"/>
    <cellStyle name="_Equity Swaps_Sheet1_Sheet1" xfId="592" xr:uid="{3230BF49-5669-46D5-AF21-6E6D580536A0}"/>
    <cellStyle name="_Equity Swaps_TRAC BBG FORMULAS" xfId="593" xr:uid="{4E2BEFD5-DAEF-4A06-B260-06D631D60256}"/>
    <cellStyle name="_Equity Swaps_TRAC BBG FORMULAS_Sheet1" xfId="594" xr:uid="{A9DF1C64-78F2-4D36-A691-19BB553FA859}"/>
    <cellStyle name="_Equity Swaps_USD Assets" xfId="595" xr:uid="{3CE30538-D87A-4519-9C68-7E2E1779ACD1}"/>
    <cellStyle name="_Est Notes" xfId="596" xr:uid="{F91F026A-FB8B-41C1-AE19-B43DC905B11A}"/>
    <cellStyle name="_EUR Investment" xfId="597" xr:uid="{C01C24F8-74EB-42DF-8F1C-F7BC3BBB010D}"/>
    <cellStyle name="_Euro" xfId="598" xr:uid="{D5FE112C-307A-49C8-BC12-D0D4E6E9081B}"/>
    <cellStyle name="_Euro 2" xfId="599" xr:uid="{4E0275B1-886E-4E97-945E-E8D30509DFC7}"/>
    <cellStyle name="_Exposure By Country 12-31-2007" xfId="600" xr:uid="{CBEC40A5-E881-4AF0-BD05-BAE8F56E17AC}"/>
    <cellStyle name="_Exposure By Country 12-31-2007 2" xfId="601" xr:uid="{AF427288-3A57-463D-9A32-DF4F6F6553F8}"/>
    <cellStyle name="_FBCO-OTC" xfId="602" xr:uid="{10C9726D-6F1A-48F6-A912-CEF8F57405A1}"/>
    <cellStyle name="_Fees &amp; NAV" xfId="603" xr:uid="{7ACC1560-16DB-4451-ACEB-B47608CD43BF}"/>
    <cellStyle name="_FI !!!" xfId="604" xr:uid="{ECE7DD61-BBB5-409E-BBF0-F8AF2258B2A9}"/>
    <cellStyle name="_FI !!! 2" xfId="605" xr:uid="{5232B894-852D-4EAC-B67E-7D0ED1C71B55}"/>
    <cellStyle name="_FI !!!_ Cash USD " xfId="606" xr:uid="{A2FC94D8-D27D-43BE-A2B9-31AF6193FA39}"/>
    <cellStyle name="_FI !!!_2-Assets" xfId="607" xr:uid="{199AEAD5-09CC-474E-88E5-0671C1EEE8CC}"/>
    <cellStyle name="_FI !!!_2-Assets 2" xfId="608" xr:uid="{A90871DD-0BBF-4463-BA5C-5836D766321A}"/>
    <cellStyle name="_FI !!!_2-Assets_Sheet1" xfId="609" xr:uid="{89D1F2BD-80DD-46E5-A059-4301AEF01C99}"/>
    <cellStyle name="_FI !!!_BBG TRAC FORMULAS" xfId="610" xr:uid="{CCFE2B9A-3537-455C-A85C-9A5654AED003}"/>
    <cellStyle name="_FI !!!_BBG TRAC FORMULAS_Sheet1" xfId="611" xr:uid="{52A5F6C4-5644-4B41-83BE-A2A9F63656AB}"/>
    <cellStyle name="_FI !!!_BBG_bonds March 09 (2)" xfId="612" xr:uid="{B0B6228A-5A14-497B-B414-458A64848BF5}"/>
    <cellStyle name="_FI !!!_BBG_bonds March 09 (2)_Sheet1" xfId="613" xr:uid="{2ABB6272-19F2-4997-A715-957B60A7FB4B}"/>
    <cellStyle name="_FI !!!_BGN BBG" xfId="614" xr:uid="{D1DE96B7-18C7-4742-BC5D-8587D0E80E75}"/>
    <cellStyle name="_FI !!!_BGN BBG FORMULAS" xfId="615" xr:uid="{0A982D92-039E-4847-88A4-97D78AFAF2EF}"/>
    <cellStyle name="_FI !!!_BGN BBG FORMULAS_Sheet1" xfId="616" xr:uid="{A34C4A3B-0B0B-478F-B881-C81AAFE47B67}"/>
    <cellStyle name="_FI !!!_BGN BBG_Sheet1" xfId="617" xr:uid="{FE6A83D6-1B6D-4781-8210-CD96AEADEB76}"/>
    <cellStyle name="_FI !!!_BVAL BBG FORMULAS" xfId="618" xr:uid="{BE56701B-65EF-4BB4-B63A-65A64BA4A867}"/>
    <cellStyle name="_FI !!!_BVAL BBG FORMULAS_Sheet1" xfId="619" xr:uid="{A8C3C99D-A5C9-4C6C-8844-15B45DE54580}"/>
    <cellStyle name="_FI !!!_Cash USD" xfId="620" xr:uid="{02381D2E-1DAF-4C49-8002-67648C02C846}"/>
    <cellStyle name="_FI !!!_Cash USD " xfId="621" xr:uid="{C0221732-4096-41E1-B5E9-B3C073EA62C2}"/>
    <cellStyle name="_FI !!!_Cash USD _Current" xfId="622" xr:uid="{B195E683-98A0-4CBC-8369-A4CFF30B59F8}"/>
    <cellStyle name="_FI !!!_Cash USD _FWD conts" xfId="623" xr:uid="{6EC73565-434D-40FB-BB05-9EC658AEA1E4}"/>
    <cellStyle name="_FI !!!_Cash USD _FWD conts_Current" xfId="624" xr:uid="{B316DF98-54B4-49B0-87AB-465714A87506}"/>
    <cellStyle name="_FI !!!_Cash USD _FWD conts_Pending" xfId="625" xr:uid="{0CB5378F-B675-4946-B27F-2D3B3162DA57}"/>
    <cellStyle name="_FI !!!_Cash USD _FWD conts_Prior month - FWD" xfId="626" xr:uid="{6D0E837E-C458-4B3D-8A77-10C0D142D8B0}"/>
    <cellStyle name="_FI !!!_Cash USD _FWD conts_Prior month - FWD GL msa II" xfId="627" xr:uid="{3E7258D1-6076-4442-B4CD-76D089B51CB5}"/>
    <cellStyle name="_FI !!!_Cash USD _FWD conts_Recalc" xfId="628" xr:uid="{DC0A5F85-F336-4B83-B371-5FB356333ABD}"/>
    <cellStyle name="_FI !!!_Cash USD _FWD conts_USD Assets" xfId="629" xr:uid="{323A3A29-21C7-4447-9C03-F581D025945D}"/>
    <cellStyle name="_FI !!!_Cash USD _Jan 1st MFT" xfId="630" xr:uid="{5697F060-1672-4A59-B425-606C0353E461}"/>
    <cellStyle name="_FI !!!_Cash USD _Pending" xfId="631" xr:uid="{438EAB01-FBDE-436C-9E62-92AB38445638}"/>
    <cellStyle name="_FI !!!_Cash USD _Prior month - FWD GL msa II" xfId="632" xr:uid="{56D0B739-B494-422A-98CB-41F9EB4E4F8C}"/>
    <cellStyle name="_FI !!!_Cash USD _Recalc" xfId="633" xr:uid="{5639E791-01C6-46E9-8E28-9D1DA3466D30}"/>
    <cellStyle name="_FI !!!_Cash USD _Sheet1" xfId="634" xr:uid="{95508744-9EC1-443E-AD3D-C85755CCE93F}"/>
    <cellStyle name="_FI !!!_Cash USD _USD Assets" xfId="635" xr:uid="{DB4B549A-7CB5-421E-B52A-2E56A8E88028}"/>
    <cellStyle name="_FI !!!_Current" xfId="636" xr:uid="{3A523D37-3D9D-45B7-82DA-85C645CED9CA}"/>
    <cellStyle name="_FI !!!_FWD conts" xfId="637" xr:uid="{0BC94A33-EF11-49A0-9A3C-4702D8F1869C}"/>
    <cellStyle name="_FI !!!_Jan 1st  MFT" xfId="638" xr:uid="{0B7E4D3E-B021-4CDE-8A11-B72FBB18C221}"/>
    <cellStyle name="_FI !!!_Jan 1st MFT" xfId="639" xr:uid="{0BAFA576-2BEE-43C4-9E31-021A3C549245}"/>
    <cellStyle name="_FI !!!_KBFP BBG FORMULAS" xfId="640" xr:uid="{0C3AAA12-5219-4729-ADAB-356AC836EB9E}"/>
    <cellStyle name="_FI !!!_KBFP BBG FORMULAS_Sheet1" xfId="641" xr:uid="{2878F148-522D-4E32-A113-B809E9866496}"/>
    <cellStyle name="_FI !!!_NAVs-SM" xfId="642" xr:uid="{36CBBB20-E022-4216-8940-3DB724AF3A7F}"/>
    <cellStyle name="_FI !!!_Pending" xfId="643" xr:uid="{EC0151A1-3039-4765-8F1F-4A9469A957B6}"/>
    <cellStyle name="_FI !!!_Prices" xfId="644" xr:uid="{C4571804-7F12-4EA5-B276-FB30A2EDEBC0}"/>
    <cellStyle name="_FI !!!_Prior Month" xfId="645" xr:uid="{8A4906DF-2F3C-4543-9DCE-12A96254B95D}"/>
    <cellStyle name="_FI !!!_Prior month - FWD" xfId="646" xr:uid="{41D8A1D1-74A9-40A3-BCF9-FF5E9B37982B}"/>
    <cellStyle name="_FI !!!_Prior month - FWD GL msa II" xfId="647" xr:uid="{962FC507-10A4-4080-AA31-64F80DD1AE73}"/>
    <cellStyle name="_FI !!!_Recalc" xfId="648" xr:uid="{4E61D256-F15E-4B04-9094-1C8DA0A252B3}"/>
    <cellStyle name="_FI !!!_SEPT 11 EST" xfId="649" xr:uid="{5A0C3160-3D7C-4296-BC0B-B89FE882DDB3}"/>
    <cellStyle name="_FI !!!_SEPT 11 EST 2" xfId="650" xr:uid="{4508C5D9-6ADB-4482-ACB5-59C1E3EAA892}"/>
    <cellStyle name="_FI !!!_SEPT 11 EST_Sheet1" xfId="651" xr:uid="{6B91568F-52C5-44A4-BA29-9D39FFD3EBD3}"/>
    <cellStyle name="_FI !!!_Sheet1" xfId="652" xr:uid="{6794A052-186C-442B-9B5E-D8896206BA93}"/>
    <cellStyle name="_FI !!!_Sheet1_1" xfId="653" xr:uid="{BA61EAF6-DDB1-4368-AD7C-A5666C10572D}"/>
    <cellStyle name="_FI !!!_Sheet1_1_NAVs-SM" xfId="654" xr:uid="{BA2E11F9-31A3-4692-B0CE-DBF1E108E63A}"/>
    <cellStyle name="_FI !!!_Sheet1_1_Sheet1" xfId="655" xr:uid="{263B45DD-EBB3-4F63-94AD-A4F6F36BD5CE}"/>
    <cellStyle name="_FI !!!_Sheet1_2" xfId="656" xr:uid="{24C6EDA9-024C-4B6C-99BD-3F225E20F51D}"/>
    <cellStyle name="_FI !!!_Sheet1_Sheet1" xfId="657" xr:uid="{FD5ECF4E-0866-40C2-AE93-F24AB93C6A57}"/>
    <cellStyle name="_FI !!!_TRAC BBG FORMULAS" xfId="658" xr:uid="{FB4D6F3D-D6A6-4C7E-ABCA-E2376222F5C4}"/>
    <cellStyle name="_FI !!!_TRAC BBG FORMULAS_Sheet1" xfId="659" xr:uid="{6D40EBB4-E7D8-4579-B79E-1690BABDA75B}"/>
    <cellStyle name="_FI !!!_USD Assets" xfId="660" xr:uid="{2E29649B-E28C-4A4F-AFCE-6AC16190523C}"/>
    <cellStyle name="_FRLS" xfId="661" xr:uid="{1EDDC241-CFCC-42B3-A98A-2D1507D06D9A}"/>
    <cellStyle name="_FRLS 2" xfId="662" xr:uid="{F1BD71FE-97B0-4C3B-8005-285F624EDB70}"/>
    <cellStyle name="_FRLS Sep 09 NAV" xfId="663" xr:uid="{9D06EEE7-AC7A-4E99-A619-1F7D827EBDEF}"/>
    <cellStyle name="_FRLS_ Cash USD " xfId="664" xr:uid="{BE355DD2-DD02-4E78-BE3C-769582FC2F7C}"/>
    <cellStyle name="_FRLS_2-Assets" xfId="665" xr:uid="{0B57E93F-0E2A-4508-B83B-F65B16E7BC54}"/>
    <cellStyle name="_FRLS_2-Assets 2" xfId="666" xr:uid="{C56B09A8-4F71-4DB8-A148-89A96E875721}"/>
    <cellStyle name="_FRLS_2-Assets_Sheet1" xfId="667" xr:uid="{5C043B9C-FA2A-4082-B64A-F334BCA63E10}"/>
    <cellStyle name="_FRLS_BBG TRAC FORMULAS" xfId="668" xr:uid="{20F8E941-1FF6-42EE-BC7D-919528D2A659}"/>
    <cellStyle name="_FRLS_BBG TRAC FORMULAS_Sheet1" xfId="669" xr:uid="{F4AD3D60-A0F1-4F05-B5CB-7A8BA96C286D}"/>
    <cellStyle name="_FRLS_BBG_bonds March 09 (2)" xfId="670" xr:uid="{13EE1DD8-54A9-4921-8787-C2977C7C4573}"/>
    <cellStyle name="_FRLS_BBG_bonds March 09 (2)_Sheet1" xfId="671" xr:uid="{06812C60-F6C8-4120-8FE4-3B84DE527A6A}"/>
    <cellStyle name="_FRLS_BGN BBG" xfId="672" xr:uid="{09AF02EA-3B2C-487B-BA2A-B5F9420D3D4C}"/>
    <cellStyle name="_FRLS_BGN BBG_Sheet1" xfId="673" xr:uid="{FE7087B9-6A87-44E7-9EF9-937AD9AD35ED}"/>
    <cellStyle name="_FRLS_Cash USD" xfId="674" xr:uid="{022CDF9D-B633-4E42-88C2-B1B2B45650A4}"/>
    <cellStyle name="_FRLS_Cash USD " xfId="675" xr:uid="{7E568612-F28A-4E05-9CAF-0EE30294E4A0}"/>
    <cellStyle name="_FRLS_Cash USD _Current" xfId="676" xr:uid="{F07C2B60-7293-48F3-AFB2-2679E9D0C89F}"/>
    <cellStyle name="_FRLS_Cash USD _FWD conts" xfId="677" xr:uid="{1846D22B-BD02-4FF0-966F-6297293BDDB5}"/>
    <cellStyle name="_FRLS_Cash USD _FWD conts_Current" xfId="678" xr:uid="{E5AF7256-4772-492D-848F-02096FB3B1B8}"/>
    <cellStyle name="_FRLS_Cash USD _FWD conts_Pending" xfId="679" xr:uid="{461616A8-226F-408F-B2D6-9DE63E677091}"/>
    <cellStyle name="_FRLS_Cash USD _FWD conts_Prior month - FWD" xfId="680" xr:uid="{B548D8BF-CEE8-4553-BCB1-9BDC7FF2BEA9}"/>
    <cellStyle name="_FRLS_Cash USD _FWD conts_Prior month - FWD GL msa II" xfId="681" xr:uid="{C4520088-4BBF-4862-A5D0-4CEFC5D0F12A}"/>
    <cellStyle name="_FRLS_Cash USD _FWD conts_Recalc" xfId="682" xr:uid="{93E95B54-43FE-4A42-A650-DEE7103B7891}"/>
    <cellStyle name="_FRLS_Cash USD _FWD conts_USD Assets" xfId="683" xr:uid="{73440A9E-ABFC-4E62-803E-B29497199F16}"/>
    <cellStyle name="_FRLS_Cash USD _Jan 1st MFT" xfId="684" xr:uid="{F41E0819-0B4A-4AEC-A616-DF7A5C69ED0D}"/>
    <cellStyle name="_FRLS_Cash USD _Pending" xfId="685" xr:uid="{409A8D4A-A5ED-42F2-9B31-ABE27F582714}"/>
    <cellStyle name="_FRLS_Cash USD _Prior month - FWD GL msa II" xfId="686" xr:uid="{F678939D-B62D-4ABF-A0E9-2CB0525BDDDE}"/>
    <cellStyle name="_FRLS_Cash USD _Recalc" xfId="687" xr:uid="{9523BB10-C00B-488B-9FC9-7E778616A546}"/>
    <cellStyle name="_FRLS_Cash USD _Sheet1" xfId="688" xr:uid="{798C401B-761B-48AD-B14F-1923CF12DE27}"/>
    <cellStyle name="_FRLS_Cash USD _USD Assets" xfId="689" xr:uid="{76D5F5BB-6625-42A8-BD40-8F0FA84597D0}"/>
    <cellStyle name="_FRLS_Current" xfId="690" xr:uid="{0EACCF26-5368-404A-8B35-C2EF9271D929}"/>
    <cellStyle name="_FRLS_FWD conts" xfId="691" xr:uid="{9144C7F4-4D52-4C0B-A786-2D39B12422B6}"/>
    <cellStyle name="_FRLS_GDA_Q2" xfId="692" xr:uid="{47F2C7C1-7F82-4B3E-BD75-960D67557FCB}"/>
    <cellStyle name="_FRLS_Jan 1st  MFT" xfId="693" xr:uid="{2A5AC7DF-B2F0-4402-8C77-BF6E3A69DEBE}"/>
    <cellStyle name="_FRLS_Jan 1st MFT" xfId="694" xr:uid="{1B6C5DBC-6983-45C7-96FD-8C06A61AB702}"/>
    <cellStyle name="_FRLS_NAVs-SM" xfId="695" xr:uid="{0E8CFF91-5B35-4552-BC1E-B854A6EAF942}"/>
    <cellStyle name="_FRLS_Net Subs" xfId="696" xr:uid="{9CABCB70-AFC8-42C6-BD4D-D6946EEB12FF}"/>
    <cellStyle name="_FRLS_Pending" xfId="697" xr:uid="{B67D3B6E-73A0-4103-8B31-EC7B301EAE87}"/>
    <cellStyle name="_FRLS_Prices" xfId="698" xr:uid="{C88DFB4C-9950-42D8-8710-F1211B70764A}"/>
    <cellStyle name="_FRLS_Prior Month" xfId="699" xr:uid="{813767BA-0F16-4635-885B-6C23D5693662}"/>
    <cellStyle name="_FRLS_Prior month - FWD" xfId="700" xr:uid="{DC16B82D-B71D-46E6-B85F-4FEBC30125DE}"/>
    <cellStyle name="_FRLS_Prior month - FWD GL msa II" xfId="701" xr:uid="{4C4AAE19-C572-44BA-A760-AFEE27DBEC87}"/>
    <cellStyle name="_FRLS_Rec" xfId="702" xr:uid="{5D65DA61-A141-49E0-B845-C70C2EEADA0B}"/>
    <cellStyle name="_FRLS_Recalc" xfId="703" xr:uid="{817D53AF-D681-4C32-9254-20931A1190A2}"/>
    <cellStyle name="_FRLS_SEPT 11 EST" xfId="704" xr:uid="{C66870A3-D0AE-4991-A8A0-D791E27554DF}"/>
    <cellStyle name="_FRLS_SEPT 11 EST 2" xfId="705" xr:uid="{F1514F0A-532D-4903-A17B-F78D02DB822A}"/>
    <cellStyle name="_FRLS_SEPT 11 EST_Sheet1" xfId="706" xr:uid="{ECA307BC-E0BC-410A-8E4A-65B0EE909F63}"/>
    <cellStyle name="_FRLS_Sheet1" xfId="707" xr:uid="{031780E8-0973-46EA-AA7B-05B293EC7D6D}"/>
    <cellStyle name="_FRLS_Sheet1_NAVs-SM" xfId="708" xr:uid="{FDDA4A07-30DD-42AE-881E-7569204776C4}"/>
    <cellStyle name="_FRLS_Summary" xfId="709" xr:uid="{4893DB04-49F4-4240-B2DE-8050FF9F798F}"/>
    <cellStyle name="_FRLS_USD Assets" xfId="710" xr:uid="{A3B1BE6A-744A-4AE0-A863-F6B18DCE9782}"/>
    <cellStyle name="_GL" xfId="711" xr:uid="{BC19CBB2-7E3D-4560-A6B9-76657F0F88F4}"/>
    <cellStyle name="_GL-DB USD" xfId="712" xr:uid="{66DD56EC-732B-46D9-851B-B281F5F4C867}"/>
    <cellStyle name="_GLEA" xfId="713" xr:uid="{BF53011A-96F6-46DA-B8D4-F4FFF53822CD}"/>
    <cellStyle name="_GLEA 2" xfId="714" xr:uid="{3223FCD3-719F-42DF-9AA4-DE05766A791F}"/>
    <cellStyle name="_GLEA_ Cash USD " xfId="715" xr:uid="{2AAB45F2-FC32-4A43-810A-7DBB4A6D267C}"/>
    <cellStyle name="_GLEA_2-Assets" xfId="716" xr:uid="{EA5E85B2-631B-43D4-8BC6-DF6C774A7BF6}"/>
    <cellStyle name="_GLEA_2-Assets 2" xfId="717" xr:uid="{822309FB-C360-40EF-95CE-E5CEA9E826DE}"/>
    <cellStyle name="_GLEA_2-Assets_Sheet1" xfId="718" xr:uid="{38919594-9C15-4F51-B216-878F2066D8DB}"/>
    <cellStyle name="_GLEA_Cash USD" xfId="719" xr:uid="{80CEECB9-A011-4F4C-9768-7BF9A3CF5D7C}"/>
    <cellStyle name="_GLEA_Cash USD " xfId="720" xr:uid="{2ECACAE5-D8B9-45E9-93AA-D82543759031}"/>
    <cellStyle name="_GLEA_Cash USD _Current" xfId="721" xr:uid="{A7717C05-8A8C-44A5-976F-5BC49C1C5BB7}"/>
    <cellStyle name="_GLEA_Cash USD _FWD conts" xfId="722" xr:uid="{EB31C6DA-6833-46C2-AA35-E4C2C82E24DB}"/>
    <cellStyle name="_GLEA_Cash USD _FWD conts_Current" xfId="723" xr:uid="{78ABC468-E5E4-4792-9215-A78B16F77080}"/>
    <cellStyle name="_GLEA_Cash USD _FWD conts_Pending" xfId="724" xr:uid="{D4FA01C5-FFF8-45FD-AFF6-7E38CA909FEB}"/>
    <cellStyle name="_GLEA_Cash USD _FWD conts_Prior month - FWD" xfId="725" xr:uid="{6B4B9454-F235-4B5B-BA34-2B4B8E760C58}"/>
    <cellStyle name="_GLEA_Cash USD _FWD conts_Prior month - FWD GL msa II" xfId="726" xr:uid="{56B447D5-E684-4B82-9318-914F463C8DCB}"/>
    <cellStyle name="_GLEA_Cash USD _FWD conts_Recalc" xfId="727" xr:uid="{AB4F1D71-B944-4A75-8AB3-96792C1AB469}"/>
    <cellStyle name="_GLEA_Cash USD _FWD conts_USD Assets" xfId="728" xr:uid="{E42709B5-A8E4-43EA-8945-7D0D2154A40B}"/>
    <cellStyle name="_GLEA_Cash USD _Jan 1st MFT" xfId="729" xr:uid="{1CEA3154-0861-4ED5-8034-7AD30FDFF5B7}"/>
    <cellStyle name="_GLEA_Cash USD _Pending" xfId="730" xr:uid="{C7909415-3BD5-46C1-BB90-8F6972FF0BF8}"/>
    <cellStyle name="_GLEA_Cash USD _Prior month - FWD GL msa II" xfId="731" xr:uid="{E650A74A-1765-4393-A5C7-737F1C436FA0}"/>
    <cellStyle name="_GLEA_Cash USD _Recalc" xfId="732" xr:uid="{929E27E8-7854-47FE-9368-D4B6C629FECE}"/>
    <cellStyle name="_GLEA_Cash USD _Sheet1" xfId="733" xr:uid="{9DC9E137-0ACE-4834-80C6-EF877914B6D3}"/>
    <cellStyle name="_GLEA_Cash USD _USD Assets" xfId="734" xr:uid="{5C484FD4-BBAD-406E-8D4F-5CCF8AF7C82E}"/>
    <cellStyle name="_GLEA_Current" xfId="735" xr:uid="{7B099F60-C95D-48B7-BC32-81084ACCE8D5}"/>
    <cellStyle name="_GLEA_FWD conts" xfId="736" xr:uid="{F56CFC48-F881-43CD-80A6-79D171505D26}"/>
    <cellStyle name="_GLEA_GDA_Q2" xfId="737" xr:uid="{A2D45983-3D5D-44E8-A21B-ADEF1B95F6A1}"/>
    <cellStyle name="_GLEA_Jan 1st  MFT" xfId="738" xr:uid="{9BB47055-1A7C-46EB-9BD7-DB77D57FE55F}"/>
    <cellStyle name="_GLEA_Jan 1st MFT" xfId="739" xr:uid="{8267514A-9447-4450-87D2-CC5C633B44E0}"/>
    <cellStyle name="_GLEA_NAVs-SM" xfId="740" xr:uid="{4CE52778-A6CD-44F0-955F-38AF49E8F962}"/>
    <cellStyle name="_GLEA_Net Subs" xfId="741" xr:uid="{7AE2F38A-0F43-4733-8D66-D4F0EB8A875C}"/>
    <cellStyle name="_GLEA_Pending" xfId="742" xr:uid="{58D98D88-4AD0-4CF6-B6EB-AAC5C45F49CA}"/>
    <cellStyle name="_GLEA_Prices" xfId="743" xr:uid="{9D65CE2A-3123-484E-8653-1CB624CFD0D6}"/>
    <cellStyle name="_GLEA_Prior Month" xfId="744" xr:uid="{6E69EDCD-7ABE-4F13-A888-761CBF04E085}"/>
    <cellStyle name="_GLEA_Prior month - FWD" xfId="745" xr:uid="{9FD650C3-C360-4A39-AB93-1ADCAD200222}"/>
    <cellStyle name="_GLEA_Prior month - FWD GL msa II" xfId="746" xr:uid="{A70ABD17-779B-4C97-B744-A43CDFEC2D60}"/>
    <cellStyle name="_GLEA_Rec" xfId="747" xr:uid="{773F0B4B-723A-474C-9D2E-BA22FB0852A3}"/>
    <cellStyle name="_GLEA_Recalc" xfId="748" xr:uid="{4DF97BAC-0D75-40EA-83A0-07C46ABFC8E8}"/>
    <cellStyle name="_GLEA_SEPT 11 EST" xfId="749" xr:uid="{3480A273-A51F-4260-AC4D-95379CF4BE20}"/>
    <cellStyle name="_GLEA_SEPT 11 EST 2" xfId="750" xr:uid="{B38BE329-8705-46AE-A41E-9089DCB3AEE1}"/>
    <cellStyle name="_GLEA_SEPT 11 EST_Sheet1" xfId="751" xr:uid="{EE5C99BB-5736-4583-88ED-425A40C60EC3}"/>
    <cellStyle name="_GLEA_Sheet1" xfId="752" xr:uid="{3B1C7736-DD5B-4FA4-B26F-E6A239E7D9FB}"/>
    <cellStyle name="_GLEA_Sheet1_NAVs-SM" xfId="753" xr:uid="{2E82626F-BA61-4F05-A7D2-7E3613C60F79}"/>
    <cellStyle name="_GLEA_Summary" xfId="754" xr:uid="{22FB6D2A-6381-4156-9095-655FBF85994A}"/>
    <cellStyle name="_GLEA_USD Assets" xfId="755" xr:uid="{E6EC34A9-C8F4-44E6-8514-348FF0B0092D}"/>
    <cellStyle name="_GSCO" xfId="756" xr:uid="{76398BB9-CEE1-41C1-A550-0228C36F3667}"/>
    <cellStyle name="_Haircut Request" xfId="757" xr:uid="{94A64D5B-165F-4DCD-B139-40D6A47F8D3B}"/>
    <cellStyle name="_Haircut Request 2" xfId="758" xr:uid="{EE1BD7C9-9712-499B-A2EA-9CB08E919F76}"/>
    <cellStyle name="_Haircut Request_Sheet1" xfId="759" xr:uid="{AFDE58D3-583F-41D1-86F3-853AC5738D95}"/>
    <cellStyle name="_HDHF - P_L reclass - 12.31.06" xfId="760" xr:uid="{8F656B5F-4D19-40F5-92EF-F88EE12FC605}"/>
    <cellStyle name="_HDHF - P_L reclass - 12.31.06_A1 Sandelman Partners LP FS 2007 Draft #1 Yanik" xfId="761" xr:uid="{03013CAB-50FE-4662-8C8D-C59EA78DB9C3}"/>
    <cellStyle name="_HDHF - P_L reclass - 12.31.06_A1 Sandelman Partners Ltd FS 2007 Draft #1Yanik" xfId="762" xr:uid="{BEED64A8-C3E1-4A49-8F64-E3AC44AC9AB0}"/>
    <cellStyle name="_HDHF - P_L reclass - 12.31.06_A1 Sandelman Partners LtdII FS 2007 Draft #1 Yanik" xfId="763" xr:uid="{B91C7774-1F3E-4904-A8EC-3F70905B80A2}"/>
    <cellStyle name="_HDHF - P_L reclass - 12.31.06_A2 BCHF FS 12.31 (Adjusted)" xfId="764" xr:uid="{08D559E9-0379-4966-83F2-D6B35051DAB2}"/>
    <cellStyle name="_HDHF - P_L reclass - 12.31.06_A2 FS Sandelman Multi Strategy IS data - yanik" xfId="765" xr:uid="{61272A97-6B15-4785-93CE-CBC1CF7010F2}"/>
    <cellStyle name="_HDHF - P_L reclass - 12.31.06_A2 Sandelman Partner Multi-Strategy Fund LP 2007 (Adjusted)" xfId="766" xr:uid="{7217ED66-D28A-4473-BEFF-D7828F6EEFE3}"/>
    <cellStyle name="_HDHF - P_L reclass - 12.31.06_A2 Sandelman Partners Ltd FS 2007(Adjusted)" xfId="767" xr:uid="{CC01A5DE-24DE-4B45-AEBE-24CFDE1D1348}"/>
    <cellStyle name="_HDHF - P_L reclass - 12.31.06_A2 Sandleman Partners Multi FS 12.31 (Adjusted)v3Otto" xfId="768" xr:uid="{DD97549F-A760-463C-86AD-3055880719FE}"/>
    <cellStyle name="_HDHF - P_L reclass - 12.31.06_A3 Sandelman Partners Erisa Financial Statements" xfId="769" xr:uid="{D9DCD484-1738-4429-9873-188B3277EF0B}"/>
    <cellStyle name="_HDHF - P_L reclass - 12.31.06_A3 Sandelman Partners Erisa FS 2007 (Unadjusted)-Eddie" xfId="770" xr:uid="{864B0E5C-1168-4F6C-86B0-28223E751212}"/>
    <cellStyle name="_HDHF - P_L reclass - 12.31.06_A3 Sandelman Partners Ltd Financial Statement 2007 (unadjusted)" xfId="771" xr:uid="{1DCD69BA-7498-4514-B4F7-E11D02DC3AC3}"/>
    <cellStyle name="_HDHF - P_L reclass - 12.31.06_A6 Sandleman LP Feeder Highlights 2007 V3" xfId="772" xr:uid="{FAA79D35-536C-4E05-99FA-8F3DB0DF6936}"/>
    <cellStyle name="_HDHF - P_L reclass - 12.31.06_BMHF - BS Reclass - 12.31.06" xfId="773" xr:uid="{17B7A3F3-5E38-4254-8715-BD0476C5A02D}"/>
    <cellStyle name="_HDHF - P_L reclass - 12.31.06_BMLTD  Financials 06" xfId="774" xr:uid="{ABFE6DF1-399A-481B-BB3E-EBD71250D4DE}"/>
    <cellStyle name="_HDHF - P_L reclass - 12.31.06_BMLTD  Financials 06_Share working" xfId="775" xr:uid="{9A9E43F3-199E-421C-BCC8-4243479B74FF}"/>
    <cellStyle name="_HDHF - P_L reclass - 12.31.06_BMLTD  Financials 06_Subs Reds" xfId="776" xr:uid="{A830AA44-9FB5-4730-84E5-49DA6ED7B02D}"/>
    <cellStyle name="_HDHF - P_L reclass - 12.31.06_E2a Sandelman Multi-Strategy Master-Feeder Allocation (Aexeo)2007 Adjusted" xfId="777" xr:uid="{A3C0DDF7-AB12-4B71-A9EE-7CFD9D70DC02}"/>
    <cellStyle name="_HDHF - P_L reclass - 12.31.06_E2a Sandelman Multi-Strategy Master-Feeder Allocation 2007 include Hot income and Withholding Tax breakout" xfId="778" xr:uid="{6B12CE93-A3F8-4C2C-8D66-26423BA5CF51}"/>
    <cellStyle name="_HDHF - P_L reclass - 12.31.06_HDHF FS 12.31" xfId="779" xr:uid="{3B6C3433-B563-406E-86A4-1570EEDFA6D7}"/>
    <cellStyle name="_HDHF - P_L reclass - 12.31.06_IS data" xfId="780" xr:uid="{311753FF-0579-4678-A062-A611FD7CD00A}"/>
    <cellStyle name="_HDHF - P_L reclass - 12.31.06_Share working" xfId="781" xr:uid="{45A5AB11-4B08-408B-BE06-D1B098657558}"/>
    <cellStyle name="_HDHF - P_L reclass - 12.31.06_Sheet1" xfId="782" xr:uid="{D1228940-579C-45D8-947F-5F21D7916343}"/>
    <cellStyle name="_HDHF - P_L reclass - 12.31.06_Subs Reds" xfId="783" xr:uid="{691D7882-E8A9-4086-BE09-BC795277EE01}"/>
    <cellStyle name="_Heading" xfId="784" xr:uid="{3BC48833-13F5-404D-A9BA-9481FBC580D1}"/>
    <cellStyle name="_Highlight" xfId="785" xr:uid="{C9A6FEAC-E834-4430-BB13-4B902F0DA152}"/>
    <cellStyle name="_Highlight 2" xfId="786" xr:uid="{26DE4CCF-7587-49DD-8DCC-41E1407CF789}"/>
    <cellStyle name="_holdings" xfId="787" xr:uid="{ABB8B78B-0F72-46B7-83F1-EF34B9F7565C}"/>
    <cellStyle name="_holdings 2" xfId="788" xr:uid="{D6A72FFD-3CBB-4D63-9D24-F0421DEA61FF}"/>
    <cellStyle name="_holdings_2-Assets" xfId="789" xr:uid="{7DCF3EDB-A5E7-489C-8D62-6264C995B115}"/>
    <cellStyle name="_holdings_2-Assets 2" xfId="790" xr:uid="{5AEAF40A-C463-45C6-917C-10409904D3D9}"/>
    <cellStyle name="_holdings_2-Assets_Sheet1" xfId="791" xr:uid="{442A5B24-D537-4F89-BC6D-91BD7FC05934}"/>
    <cellStyle name="_holdings_NAVs-SM" xfId="792" xr:uid="{789862EE-AC49-4D75-9808-E845498D1486}"/>
    <cellStyle name="_holdings_Sheet1" xfId="793" xr:uid="{8ED5FDBA-2568-4BE9-B5A7-B674778A50E2}"/>
    <cellStyle name="_IAP File" xfId="794" xr:uid="{13FF61F5-0D36-4D1B-AA2C-253C2B127C5E}"/>
    <cellStyle name="_IAP File 2" xfId="795" xr:uid="{0A98BC95-7D79-40D4-9F90-AA013BFF2CBB}"/>
    <cellStyle name="_IAP File_ Cash USD " xfId="796" xr:uid="{EF8A5178-5155-4012-941F-42B1F654F929}"/>
    <cellStyle name="_IAP File_2-Assets" xfId="797" xr:uid="{ED514400-3F95-4713-94C0-C1CF35187027}"/>
    <cellStyle name="_IAP File_2-Assets 2" xfId="798" xr:uid="{3999F447-8C57-41EB-85DD-CD7802EE58B9}"/>
    <cellStyle name="_IAP File_2-Assets_Sheet1" xfId="799" xr:uid="{7DDCFBBB-36BC-4BF5-B626-40D3A1D6709F}"/>
    <cellStyle name="_IAP File_Cash USD" xfId="800" xr:uid="{AD278DAD-BC9C-4360-B0D9-2ECB643BB18D}"/>
    <cellStyle name="_IAP File_Cash USD " xfId="801" xr:uid="{C32DEDBB-32A3-49BB-9BB1-19A80401C856}"/>
    <cellStyle name="_IAP File_Cash USD _Current" xfId="802" xr:uid="{99858599-EC9D-4527-8B04-69D4388C56A2}"/>
    <cellStyle name="_IAP File_Cash USD _FWD conts" xfId="803" xr:uid="{32AB6D9F-5437-4FD9-8326-40DD4B5FA060}"/>
    <cellStyle name="_IAP File_Cash USD _FWD conts_Current" xfId="804" xr:uid="{D1F47020-1DA2-46F3-87D1-213F26C5889B}"/>
    <cellStyle name="_IAP File_Cash USD _FWD conts_Pending" xfId="805" xr:uid="{8822490E-7C68-4E51-970A-6DB3BD8EFDBE}"/>
    <cellStyle name="_IAP File_Cash USD _FWD conts_Prior month - FWD" xfId="806" xr:uid="{D7398E91-37C6-4F15-BF3E-239E3D0E2889}"/>
    <cellStyle name="_IAP File_Cash USD _FWD conts_Prior month - FWD GL msa II" xfId="807" xr:uid="{98A93209-A5C0-445A-82D3-AA13FD5C2BA7}"/>
    <cellStyle name="_IAP File_Cash USD _FWD conts_Recalc" xfId="808" xr:uid="{22EF58C5-0D3F-4D05-838C-2266C5D9E093}"/>
    <cellStyle name="_IAP File_Cash USD _FWD conts_USD Assets" xfId="809" xr:uid="{0AB652FE-C607-4D3C-B378-5B46B75D682A}"/>
    <cellStyle name="_IAP File_Cash USD _Jan 1st MFT" xfId="810" xr:uid="{73D6DB0B-B90C-44B4-AA6B-FE43EA5540D6}"/>
    <cellStyle name="_IAP File_Cash USD _Pending" xfId="811" xr:uid="{4B7BAAA2-7DE6-4DC4-8339-C38E1E53B89F}"/>
    <cellStyle name="_IAP File_Cash USD _Prior month - FWD GL msa II" xfId="812" xr:uid="{04FB699D-EF45-4954-9AC9-71790A13E4A2}"/>
    <cellStyle name="_IAP File_Cash USD _Recalc" xfId="813" xr:uid="{4D6BC719-9B72-4A19-945B-2F56CA2AE113}"/>
    <cellStyle name="_IAP File_Cash USD _Sheet1" xfId="814" xr:uid="{E5BF10F9-CD61-4B7B-92A8-2D24D911DD03}"/>
    <cellStyle name="_IAP File_Cash USD _USD Assets" xfId="815" xr:uid="{04FE1123-00E9-471A-894F-831A4A431DC3}"/>
    <cellStyle name="_IAP File_Current" xfId="816" xr:uid="{92BEFC57-E7D3-4C50-A671-8B07C0F57312}"/>
    <cellStyle name="_IAP File_FWD conts" xfId="817" xr:uid="{F644127A-5644-43A4-85E0-312780FEA547}"/>
    <cellStyle name="_IAP File_Jan 1st  MFT" xfId="818" xr:uid="{A14B0456-9AEF-41EE-9326-7D830B787E72}"/>
    <cellStyle name="_IAP File_Jan 1st MFT" xfId="819" xr:uid="{8F212CE7-1308-4EAF-86F0-689B4BE9AB20}"/>
    <cellStyle name="_IAP File_NAVs-SM" xfId="820" xr:uid="{CB7B53AC-4468-4869-9180-056789D97ED9}"/>
    <cellStyle name="_IAP File_Pending" xfId="821" xr:uid="{31B63065-4112-4BEE-AFA5-3C520A12250D}"/>
    <cellStyle name="_IAP File_Prices" xfId="822" xr:uid="{E50DE294-DAB3-419A-9151-E0B3F98BC02F}"/>
    <cellStyle name="_IAP File_Prior Month" xfId="823" xr:uid="{DD78428C-9544-4632-BD01-646C0B978C40}"/>
    <cellStyle name="_IAP File_Prior month - FWD" xfId="824" xr:uid="{53531F64-6BF9-44AA-BB77-8BDCC8E817BD}"/>
    <cellStyle name="_IAP File_Prior month - FWD GL msa II" xfId="825" xr:uid="{7EB53539-95E4-4C48-AF38-836328E9EC7F}"/>
    <cellStyle name="_IAP File_Recalc" xfId="826" xr:uid="{9F5F5E4B-55CD-461F-A448-3B1ABD2ECBA2}"/>
    <cellStyle name="_IAP File_SEPT 11 EST" xfId="827" xr:uid="{8816A650-EC72-4FB3-886B-2B364B25A572}"/>
    <cellStyle name="_IAP File_SEPT 11 EST 2" xfId="828" xr:uid="{047F11D4-22E9-4842-BF31-1E7B8BA40DE4}"/>
    <cellStyle name="_IAP File_SEPT 11 EST_Sheet1" xfId="829" xr:uid="{D5FB929B-1336-44D1-9308-A8799A74C7A2}"/>
    <cellStyle name="_IAP File_Sheet1" xfId="830" xr:uid="{105A2B42-82D3-4732-9B53-82B11C82B40E}"/>
    <cellStyle name="_IAP File_Sheet1_NAVs-SM" xfId="831" xr:uid="{3B151B1C-9681-46B0-AE70-3BA413189479}"/>
    <cellStyle name="_IAP File_USD Assets" xfId="832" xr:uid="{5429B658-2C3D-42A7-9F2C-757D7C72709C}"/>
    <cellStyle name="_INV Accrued Interest Report as of 08-19-05" xfId="833" xr:uid="{E7008A24-3279-4927-BF2A-D877CA2BC5E6}"/>
    <cellStyle name="_INV Accrued Interest Report as of 08-19-05 2" xfId="834" xr:uid="{24D36D93-464C-4233-8486-F8683F70B901}"/>
    <cellStyle name="_INV Accrued Interest Report as of 08-19-05_Sheet1" xfId="835" xr:uid="{4E546882-9963-48AA-8BB7-C9491A7489E2}"/>
    <cellStyle name="_Inv Portfolio" xfId="836" xr:uid="{1F703035-992A-4DD0-AEEB-AA9E20B54A98}"/>
    <cellStyle name="_IS reclass for Dividend and Interest" xfId="837" xr:uid="{F983A2D7-5F1A-477B-8271-3B029B661B0C}"/>
    <cellStyle name="_Issuer-Industry-Region Info" xfId="838" xr:uid="{80F94E6C-C9CA-4B92-AD71-DB4466FF6582}"/>
    <cellStyle name="_JPME" xfId="839" xr:uid="{75C9D8C5-6112-4778-A76B-DA1E4A76B741}"/>
    <cellStyle name="_Jul 31-2009" xfId="840" xr:uid="{97E585B9-E1C6-4B84-846B-F678A68EC6A9}"/>
    <cellStyle name="_Jul 31-2009 2" xfId="841" xr:uid="{262450EE-9339-46FD-96A3-E7CC8C43745A}"/>
    <cellStyle name="_Jul 31-2009_Sheet1" xfId="842" xr:uid="{E10E4DDD-431A-4CF5-8946-EF5D526505E5}"/>
    <cellStyle name="_JUNE 30-2010" xfId="843" xr:uid="{52E2F87C-022C-4A9A-B4EB-59F2B1281541}"/>
    <cellStyle name="_MAC81" xfId="844" xr:uid="{6CC701AC-A914-452B-AA89-9EC089EE1146}"/>
    <cellStyle name="_MAC81 2" xfId="845" xr:uid="{05CAC8BA-D1F2-42CC-BA0C-EE249624038A}"/>
    <cellStyle name="_MAC81_ Cash USD " xfId="846" xr:uid="{C3D4BC46-A356-4AD2-AA6A-12D05062B5A4}"/>
    <cellStyle name="_MAC81_2-Assets" xfId="847" xr:uid="{08693B22-3701-4E02-ACCF-D8B523CA6E5B}"/>
    <cellStyle name="_MAC81_2-Assets 2" xfId="848" xr:uid="{71BA2A1D-B72F-4649-9F14-BBEA46B2C313}"/>
    <cellStyle name="_MAC81_2-Assets_Sheet1" xfId="849" xr:uid="{EC360613-38A8-4AE4-A35D-0C6A636995FF}"/>
    <cellStyle name="_MAC81_Cash USD" xfId="850" xr:uid="{5A33A1CE-823F-4E72-A544-CCE5057E307A}"/>
    <cellStyle name="_MAC81_Cash USD " xfId="851" xr:uid="{642591AB-6634-4C21-96A5-29D0A0A942C8}"/>
    <cellStyle name="_MAC81_Cash USD _Current" xfId="852" xr:uid="{EB8C31BB-453D-4E55-A57A-450F6531FF40}"/>
    <cellStyle name="_MAC81_Cash USD _FWD conts" xfId="853" xr:uid="{B65D8880-7D79-485B-BDE1-4C232B45A33B}"/>
    <cellStyle name="_MAC81_Cash USD _FWD conts_Current" xfId="854" xr:uid="{E75024FF-075D-40BB-A1F3-C97256899F29}"/>
    <cellStyle name="_MAC81_Cash USD _FWD conts_Pending" xfId="855" xr:uid="{49F1FF8C-E0BD-4718-A2C9-282E9E06ABFF}"/>
    <cellStyle name="_MAC81_Cash USD _FWD conts_Prior month - FWD" xfId="856" xr:uid="{5E37BBD1-63CF-46C6-9D3D-D783819FE0F1}"/>
    <cellStyle name="_MAC81_Cash USD _FWD conts_Prior month - FWD GL msa II" xfId="857" xr:uid="{B68DFC02-2DEE-49B9-A084-83E92D12210E}"/>
    <cellStyle name="_MAC81_Cash USD _FWD conts_Recalc" xfId="858" xr:uid="{B89F782C-3E62-4759-896A-7866AD176472}"/>
    <cellStyle name="_MAC81_Cash USD _FWD conts_USD Assets" xfId="859" xr:uid="{20723FED-FE5B-4C43-B147-4F04C45753FB}"/>
    <cellStyle name="_MAC81_Cash USD _Jan 1st MFT" xfId="860" xr:uid="{8842BE10-1DB3-409F-9C5B-D8C7BFC159C3}"/>
    <cellStyle name="_MAC81_Cash USD _Pending" xfId="861" xr:uid="{CBFAF8E3-6E35-4BCA-B603-CD1DE81E1F17}"/>
    <cellStyle name="_MAC81_Cash USD _Prior month - FWD GL msa II" xfId="862" xr:uid="{E6F74EBE-0526-4C8A-B23D-59FAEC8E856F}"/>
    <cellStyle name="_MAC81_Cash USD _Recalc" xfId="863" xr:uid="{9B317DAC-59A1-4293-9834-A9FD95493C05}"/>
    <cellStyle name="_MAC81_Cash USD _Sheet1" xfId="864" xr:uid="{4CDA6FCE-4C9F-462D-878C-2A25A24C61D3}"/>
    <cellStyle name="_MAC81_Cash USD _USD Assets" xfId="865" xr:uid="{952CC70D-50F8-4371-827A-187EB0DAAEC7}"/>
    <cellStyle name="_MAC81_Current" xfId="866" xr:uid="{5971E3CD-834D-4FCA-9D42-87153FC40F88}"/>
    <cellStyle name="_MAC81_FWD conts" xfId="867" xr:uid="{7E3298DF-7FAD-42A9-861D-E61857ABA97E}"/>
    <cellStyle name="_MAC81_Jan 1st  MFT" xfId="868" xr:uid="{2D3ED763-0987-47F2-BEFA-EF56878DF652}"/>
    <cellStyle name="_MAC81_Jan 1st MFT" xfId="869" xr:uid="{8561431D-C778-4EA1-9A35-E24C8B85ED97}"/>
    <cellStyle name="_MAC81_NAVs-SM" xfId="870" xr:uid="{03D80D57-494C-469B-A32A-EF71A6C521FD}"/>
    <cellStyle name="_MAC81_Pending" xfId="871" xr:uid="{0C4F7C10-957A-42A4-AE39-CAD84ABAB537}"/>
    <cellStyle name="_MAC81_Prices" xfId="872" xr:uid="{30878E93-49A1-4B96-B90B-DE59289B8B1C}"/>
    <cellStyle name="_MAC81_Prior Month" xfId="873" xr:uid="{CCF1DF01-1FC0-4EDD-B67C-BD152ECC3256}"/>
    <cellStyle name="_MAC81_Prior month - FWD" xfId="874" xr:uid="{9915D5C3-2E0B-4D3A-8EE7-2BB5C7A39448}"/>
    <cellStyle name="_MAC81_Prior month - FWD GL msa II" xfId="875" xr:uid="{DE266D04-FA23-4B52-9580-802EB49CDA04}"/>
    <cellStyle name="_MAC81_Recalc" xfId="876" xr:uid="{B25FDBA8-7CEB-4A84-92DA-6376CB033C5A}"/>
    <cellStyle name="_MAC81_SEPT 11 EST" xfId="877" xr:uid="{C4908EFF-9218-4292-8A0C-54D8162DFF27}"/>
    <cellStyle name="_MAC81_SEPT 11 EST 2" xfId="878" xr:uid="{4DECCE04-E6E0-46CD-9FE6-7167C5661CE7}"/>
    <cellStyle name="_MAC81_SEPT 11 EST_Sheet1" xfId="879" xr:uid="{7E8692E5-9270-426D-8FBD-DFB0CD85B88F}"/>
    <cellStyle name="_MAC81_Sheet1" xfId="880" xr:uid="{A4DE24BB-1FB9-415A-BB85-0C69C2CEBFE8}"/>
    <cellStyle name="_MAC81_Sheet1_NAVs-SM" xfId="881" xr:uid="{2AB93881-F0E9-429D-9AE7-9091A2B3ED90}"/>
    <cellStyle name="_MAC81_USD Assets" xfId="882" xr:uid="{5DD4DB28-F16A-4C36-A714-7ED4B73AA6BA}"/>
    <cellStyle name="_May 2008 Bonds" xfId="883" xr:uid="{901BC535-BD47-4E02-B4C6-2EC2D79067E4}"/>
    <cellStyle name="_May 2008 Bonds 2" xfId="884" xr:uid="{4F3EE3C4-8821-4DC4-890B-0594EA6CC1AF}"/>
    <cellStyle name="_May 2008 Bonds_Sheet1" xfId="885" xr:uid="{7ADD9981-771C-459B-AB6D-5F357450CCB6}"/>
    <cellStyle name="_Multiple" xfId="886" xr:uid="{AC7FDB9B-0E07-4E70-82A2-B7CEC8E72AF6}"/>
    <cellStyle name="_Multiple 2" xfId="887" xr:uid="{4008E42B-4E96-4D72-BB9C-5558E8E773E7}"/>
    <cellStyle name="_MultipleSpace" xfId="888" xr:uid="{C05A3219-7E20-43B4-ADCC-85C21A0C9195}"/>
    <cellStyle name="_MultipleSpace 2" xfId="889" xr:uid="{A633B07A-3289-485E-9078-C61348063054}"/>
    <cellStyle name="_OTC" xfId="890" xr:uid="{CD7ACC35-E127-48A2-8733-A060E20F6B4A}"/>
    <cellStyle name="_OTC 2" xfId="891" xr:uid="{F6212D17-5B31-4077-A0B6-18D6BCD203A7}"/>
    <cellStyle name="_OTC Options" xfId="892" xr:uid="{62F9C100-2465-44A6-B277-F33592C14A85}"/>
    <cellStyle name="_OTC Options 2" xfId="893" xr:uid="{6A20B151-5C32-456A-8930-1229ADF0573D}"/>
    <cellStyle name="_OTC Options_Sheet1" xfId="894" xr:uid="{56DED44F-E522-4D04-AF42-13C42981F075}"/>
    <cellStyle name="_OTC Warrants" xfId="895" xr:uid="{28FFCC08-C6C3-402D-BC14-98840782C278}"/>
    <cellStyle name="_OTC Warrants 2" xfId="896" xr:uid="{232DB1A8-FD71-429B-BC5A-5D403FD3C54E}"/>
    <cellStyle name="_OTC Warrants_Sheet1" xfId="897" xr:uid="{1FE2836B-6E9F-4490-A6CA-460097B642B5}"/>
    <cellStyle name="_OTC_ Cash USD " xfId="898" xr:uid="{7CF88538-C94A-42FC-A462-519FD9257BA4}"/>
    <cellStyle name="_OTC_2-Assets" xfId="899" xr:uid="{EA16D36B-498A-4D4C-97F4-06B94268E4DE}"/>
    <cellStyle name="_OTC_2-Assets 2" xfId="900" xr:uid="{67811B6A-450F-45D0-97DC-3127402F5E68}"/>
    <cellStyle name="_OTC_2-Assets_Sheet1" xfId="901" xr:uid="{2C13B6E5-E4F9-40BF-A329-ACFEBE06D20F}"/>
    <cellStyle name="_OTC_Cash USD" xfId="902" xr:uid="{7415151C-FD85-4723-AA7C-19AB88B46AE4}"/>
    <cellStyle name="_OTC_Cash USD " xfId="903" xr:uid="{83A3C5EB-E3B2-48A5-B2B7-3260776CB823}"/>
    <cellStyle name="_OTC_Cash USD _Current" xfId="904" xr:uid="{A7B485C5-8064-4EB9-95AC-DEF478E2BEA4}"/>
    <cellStyle name="_OTC_Cash USD _FWD conts" xfId="905" xr:uid="{A073A177-CFA5-4D61-A5A4-C3E487BE9810}"/>
    <cellStyle name="_OTC_Cash USD _FWD conts_Current" xfId="906" xr:uid="{8C2FD5AE-0347-4D50-9222-F9A91BA9982E}"/>
    <cellStyle name="_OTC_Cash USD _FWD conts_Pending" xfId="907" xr:uid="{5761BD33-8547-41B2-8E52-C49F057EEE84}"/>
    <cellStyle name="_OTC_Cash USD _FWD conts_Prior month - FWD" xfId="908" xr:uid="{04AF16C3-F159-4707-A250-F59976C9EB3C}"/>
    <cellStyle name="_OTC_Cash USD _FWD conts_Prior month - FWD GL msa II" xfId="909" xr:uid="{4095331D-B1E2-46DC-BB9E-940EA4B1BF5C}"/>
    <cellStyle name="_OTC_Cash USD _FWD conts_Recalc" xfId="910" xr:uid="{E8B80B5B-1197-4426-947E-5BB3EF01FC06}"/>
    <cellStyle name="_OTC_Cash USD _FWD conts_USD Assets" xfId="911" xr:uid="{4890E183-E713-4FBA-B3EF-280CA87B7888}"/>
    <cellStyle name="_OTC_Cash USD _Jan 1st MFT" xfId="912" xr:uid="{5A4E653A-095C-4DE4-9677-927CEC35C2A0}"/>
    <cellStyle name="_OTC_Cash USD _Pending" xfId="913" xr:uid="{C3D5DFCD-01E1-4BE0-A596-DF48B691F1F7}"/>
    <cellStyle name="_OTC_Cash USD _Prior month - FWD GL msa II" xfId="914" xr:uid="{1CF5B78E-875A-4039-8D67-7B2D8E3F283D}"/>
    <cellStyle name="_OTC_Cash USD _Recalc" xfId="915" xr:uid="{AFA6DBBB-A3A0-4E55-885C-FCAF92DAA841}"/>
    <cellStyle name="_OTC_Cash USD _Sheet1" xfId="916" xr:uid="{E28C374D-DC46-4195-8A33-85A09D60B568}"/>
    <cellStyle name="_OTC_Cash USD _USD Assets" xfId="917" xr:uid="{8A573F24-07A6-422D-99F0-7633137C5551}"/>
    <cellStyle name="_OTC_Current" xfId="918" xr:uid="{33A27EE9-F6A2-4D9F-9429-1A11FD04661C}"/>
    <cellStyle name="_OTC_FWD conts" xfId="919" xr:uid="{2F1A3DD7-7B94-4DDE-BDEA-EDC84E7D90BF}"/>
    <cellStyle name="_OTC_Jan 1st  MFT" xfId="920" xr:uid="{1317BBC2-882F-4477-97A8-694121CEBCA5}"/>
    <cellStyle name="_OTC_Jan 1st MFT" xfId="921" xr:uid="{7BD76385-A6BA-4350-9BBD-5FA2C4A7468E}"/>
    <cellStyle name="_OTC_NAVs-SM" xfId="922" xr:uid="{26CA9B98-367D-4298-AA92-1CB1E0B3D1CE}"/>
    <cellStyle name="_OTC_Pending" xfId="923" xr:uid="{18A7F0CF-1C4A-4822-A3F1-D165837AE343}"/>
    <cellStyle name="_OTC_Prices" xfId="924" xr:uid="{FE0E7DE4-FB7F-4FD0-8DFC-0A1BCBD8DBAD}"/>
    <cellStyle name="_OTC_Prior Month" xfId="925" xr:uid="{A431EDB2-0614-4B19-9157-105DE46A757A}"/>
    <cellStyle name="_OTC_Prior month - FWD" xfId="926" xr:uid="{530D2797-B391-45C3-836F-75BAC255D4D9}"/>
    <cellStyle name="_OTC_Prior month - FWD GL msa II" xfId="927" xr:uid="{C406F611-565B-4D14-8FE3-7FF9DBD6EE09}"/>
    <cellStyle name="_OTC_Recalc" xfId="928" xr:uid="{8ACA8802-5CF5-40FE-B640-8A55253F6EF3}"/>
    <cellStyle name="_OTC_SEPT 11 EST" xfId="929" xr:uid="{192487AF-6745-41B0-9D76-C01CFA053F7D}"/>
    <cellStyle name="_OTC_SEPT 11 EST 2" xfId="930" xr:uid="{63F7BE25-6B07-4AF0-ADF5-48598C29E300}"/>
    <cellStyle name="_OTC_SEPT 11 EST_Sheet1" xfId="931" xr:uid="{04B6337F-E1CF-49F0-BAEE-1C70D33A8DE4}"/>
    <cellStyle name="_OTC_Sheet1" xfId="932" xr:uid="{68D206FB-81ED-465B-B356-1B7A134A1E7D}"/>
    <cellStyle name="_OTC_Sheet1_NAVs-SM" xfId="933" xr:uid="{B189DA47-B3E5-47AE-8860-9654A7C1B54D}"/>
    <cellStyle name="_OTC_USD Assets" xfId="934" xr:uid="{0C5E46D3-93E6-4F79-A4D0-7F1B306DA8F2}"/>
    <cellStyle name="_OTE (CDS)" xfId="935" xr:uid="{487BCD58-0FB2-42F5-A6DD-C5D6163C1C49}"/>
    <cellStyle name="_OTV" xfId="936" xr:uid="{08DCA956-ABBA-49B2-9F29-2F7E42FC13AC}"/>
    <cellStyle name="_OTV 2" xfId="937" xr:uid="{9D9D5189-1A03-45BC-8CCD-5F3ADB59DE54}"/>
    <cellStyle name="_OTV_ Cash USD " xfId="938" xr:uid="{AAFAA98D-2567-4764-85F7-9C8E6028BB4F}"/>
    <cellStyle name="_OTV_1" xfId="939" xr:uid="{B8B3C15F-8F6F-4B13-A7A6-08E7C09BBAB0}"/>
    <cellStyle name="_OTV_1 2" xfId="940" xr:uid="{881030A6-8AC8-42A8-BFAC-BA28FC92694D}"/>
    <cellStyle name="_OTV_1_Sheet1" xfId="941" xr:uid="{73DCD4F6-B8BB-4F92-926F-DC153A47D921}"/>
    <cellStyle name="_OTV_2-Assets" xfId="942" xr:uid="{092D6936-27E2-43DB-A51F-F8F81AEA195D}"/>
    <cellStyle name="_OTV_2-Assets 2" xfId="943" xr:uid="{7AC9F1BE-1458-417E-A7D2-0551610350FF}"/>
    <cellStyle name="_OTV_2-Assets_Sheet1" xfId="944" xr:uid="{42A6C646-8E44-420D-AFC7-E713095A96AA}"/>
    <cellStyle name="_OTV_Cash USD" xfId="945" xr:uid="{9EABD969-1B63-483B-8E4B-43AFE586BD67}"/>
    <cellStyle name="_OTV_Cash USD " xfId="946" xr:uid="{2ECBEC6F-3802-44EB-AFF2-EF356B552B49}"/>
    <cellStyle name="_OTV_Cash USD _Current" xfId="947" xr:uid="{83C0F5D3-DA31-4B3A-B55B-D39821F19217}"/>
    <cellStyle name="_OTV_Cash USD _FWD conts" xfId="948" xr:uid="{60EDEF2D-5B51-43DB-8A96-75F8ADEF7FA1}"/>
    <cellStyle name="_OTV_Cash USD _FWD conts_Current" xfId="949" xr:uid="{2B0FBF84-D512-410A-8E1E-493F03875446}"/>
    <cellStyle name="_OTV_Cash USD _FWD conts_Pending" xfId="950" xr:uid="{579FBDF8-2459-4E01-9488-F53DE82866E9}"/>
    <cellStyle name="_OTV_Cash USD _FWD conts_Prior month - FWD" xfId="951" xr:uid="{94E6D805-484C-4E15-A4B5-4D5F09A8A205}"/>
    <cellStyle name="_OTV_Cash USD _FWD conts_Prior month - FWD GL msa II" xfId="952" xr:uid="{3A3DB1EF-9724-429C-9CFE-8B2C11794B4B}"/>
    <cellStyle name="_OTV_Cash USD _FWD conts_Recalc" xfId="953" xr:uid="{202CCCC3-9B2A-4679-B8B8-B212287032C8}"/>
    <cellStyle name="_OTV_Cash USD _FWD conts_USD Assets" xfId="954" xr:uid="{246BD793-066F-421D-BF61-37DB8EA4CD90}"/>
    <cellStyle name="_OTV_Cash USD _Jan 1st MFT" xfId="955" xr:uid="{63A5E202-DE96-417F-9E8A-0B1927EDAC3E}"/>
    <cellStyle name="_OTV_Cash USD _Pending" xfId="956" xr:uid="{F1031295-1AC9-4423-B609-8BCAE61A67D4}"/>
    <cellStyle name="_OTV_Cash USD _Prior month - FWD GL msa II" xfId="957" xr:uid="{5BEDD5D2-6A62-44DB-B78C-26E03246D28A}"/>
    <cellStyle name="_OTV_Cash USD _Recalc" xfId="958" xr:uid="{E695D9C6-05DE-4B2B-9A6F-00708C3DD7F3}"/>
    <cellStyle name="_OTV_Cash USD _Sheet1" xfId="959" xr:uid="{C010726E-1A0F-46FC-A394-2B63C944D52D}"/>
    <cellStyle name="_OTV_Cash USD _USD Assets" xfId="960" xr:uid="{F4E2A11D-3E95-4465-BA19-CF71DC240D54}"/>
    <cellStyle name="_OTV_Current" xfId="961" xr:uid="{C4FE081E-CFB6-4B75-91D7-EF8FAEF0F619}"/>
    <cellStyle name="_OTV_FWD conts" xfId="962" xr:uid="{D37983CB-FF25-4885-AEF7-80DDEA5EDE8C}"/>
    <cellStyle name="_OTV_GDA_Q2" xfId="963" xr:uid="{F728CD9A-128D-433F-995A-307305676646}"/>
    <cellStyle name="_OTV_Jan 1st  MFT" xfId="964" xr:uid="{D29F25AE-3749-4421-B103-BBA6071B6C8E}"/>
    <cellStyle name="_OTV_Jan 1st MFT" xfId="965" xr:uid="{3E3CE386-BAE8-4C53-AD8A-EB710DAE72F0}"/>
    <cellStyle name="_OTV_NAVs-SM" xfId="966" xr:uid="{F5C15637-CF07-4ABF-B99A-66DFA89741AB}"/>
    <cellStyle name="_OTV_Net Subs" xfId="967" xr:uid="{CB7F2018-B57F-44E1-8184-E5F95AF6395A}"/>
    <cellStyle name="_OTV_Pending" xfId="968" xr:uid="{03B6388A-354B-4DF6-8EE9-2805FE904DDC}"/>
    <cellStyle name="_OTV_Prices" xfId="969" xr:uid="{4FEE3259-7DC7-456D-82E5-78F5B2CDEBAD}"/>
    <cellStyle name="_OTV_Prior Month" xfId="970" xr:uid="{6AC74C2A-E9F8-4FCB-B618-C8810AD2E3AE}"/>
    <cellStyle name="_OTV_Prior month - FWD" xfId="971" xr:uid="{65AB772E-FD91-4CE1-85FB-7441B67C9225}"/>
    <cellStyle name="_OTV_Prior month - FWD GL msa II" xfId="972" xr:uid="{0BCABF97-F60F-429E-AA58-070EBD72DFAE}"/>
    <cellStyle name="_OTV_Rec" xfId="973" xr:uid="{B0972687-CE2D-482C-B162-15ECAA310F11}"/>
    <cellStyle name="_OTV_Recalc" xfId="974" xr:uid="{EF56914E-2DCA-43AD-9BB1-346940DEA127}"/>
    <cellStyle name="_OTV_SEPT 11 EST" xfId="975" xr:uid="{E8EF6200-4182-48F1-8D5F-CAE5210523CE}"/>
    <cellStyle name="_OTV_SEPT 11 EST 2" xfId="976" xr:uid="{40C84C0B-9201-45BE-BB5C-8E94C0E98C41}"/>
    <cellStyle name="_OTV_SEPT 11 EST_Sheet1" xfId="977" xr:uid="{B9B257D2-1D70-4B6F-B869-60F530BDFC1D}"/>
    <cellStyle name="_OTV_Sheet1" xfId="978" xr:uid="{404F5B08-96CB-4282-9E81-280E241ECD2B}"/>
    <cellStyle name="_OTV_Sheet1_NAVs-SM" xfId="979" xr:uid="{CD9256EE-762C-4ACE-A1BD-78159F115865}"/>
    <cellStyle name="_OTV_Summary" xfId="980" xr:uid="{562B63FC-77CD-4EB8-BEBF-B638ECD9BDC2}"/>
    <cellStyle name="_OTV_USD Assets" xfId="981" xr:uid="{08002640-73DC-46AE-A2FF-85FC30E43ED9}"/>
    <cellStyle name="_OVO" xfId="982" xr:uid="{9EEA61EC-E436-4EC2-90A7-C07109FD78E8}"/>
    <cellStyle name="_OVO 2" xfId="983" xr:uid="{7AA688EF-3A72-44BD-B268-E0669A67C4CB}"/>
    <cellStyle name="_OVO_ Cash USD " xfId="984" xr:uid="{6803881A-8740-4172-887C-3258E277069E}"/>
    <cellStyle name="_OVO_2-Assets" xfId="985" xr:uid="{15A40302-6EA9-4D41-A75E-74005B638C9D}"/>
    <cellStyle name="_OVO_2-Assets 2" xfId="986" xr:uid="{D2AA5F43-0023-4815-8D56-9003742A7215}"/>
    <cellStyle name="_OVO_2-Assets_Sheet1" xfId="987" xr:uid="{8A148916-0220-4A51-B9EA-1A453DF9EC76}"/>
    <cellStyle name="_OVO_Cash USD" xfId="988" xr:uid="{E0A0E6F2-1005-45E8-A51D-B026C4A3B988}"/>
    <cellStyle name="_OVO_Cash USD " xfId="989" xr:uid="{CD62DDF6-DBF5-4C88-8F19-AA49E1856D08}"/>
    <cellStyle name="_OVO_Cash USD _Current" xfId="990" xr:uid="{EC596FA8-5729-4A50-999F-AF5039F8B6A1}"/>
    <cellStyle name="_OVO_Cash USD _FWD conts" xfId="991" xr:uid="{BD33C329-CDBA-450E-A137-E56BBE7812A0}"/>
    <cellStyle name="_OVO_Cash USD _FWD conts_Current" xfId="992" xr:uid="{14C95076-B9A5-46AF-9D4C-2979B31D884A}"/>
    <cellStyle name="_OVO_Cash USD _FWD conts_Pending" xfId="993" xr:uid="{011891BB-25B2-4D0A-A3DA-6252F6542861}"/>
    <cellStyle name="_OVO_Cash USD _FWD conts_Prior month - FWD" xfId="994" xr:uid="{CA829314-0DAF-4DC1-85C0-D42E150585A8}"/>
    <cellStyle name="_OVO_Cash USD _FWD conts_Prior month - FWD GL msa II" xfId="995" xr:uid="{1608EEF7-EE21-493A-B7CA-99562EA5D024}"/>
    <cellStyle name="_OVO_Cash USD _FWD conts_Recalc" xfId="996" xr:uid="{A992B70A-5FD5-407F-BDA7-DE9EA9973246}"/>
    <cellStyle name="_OVO_Cash USD _FWD conts_USD Assets" xfId="997" xr:uid="{95FDACBA-CF52-4DAA-B75B-C6E585827C86}"/>
    <cellStyle name="_OVO_Cash USD _Jan 1st MFT" xfId="998" xr:uid="{2F73D6FF-B9D3-4AD2-98FD-B50445E9AA9C}"/>
    <cellStyle name="_OVO_Cash USD _Pending" xfId="999" xr:uid="{FF2B012E-52B8-4E97-83AA-05749763E59F}"/>
    <cellStyle name="_OVO_Cash USD _Prior month - FWD GL msa II" xfId="1000" xr:uid="{F34436A6-1113-4ABC-98FA-827A952B1608}"/>
    <cellStyle name="_OVO_Cash USD _Recalc" xfId="1001" xr:uid="{2FF9B941-A174-4C09-9A53-6540E14493F7}"/>
    <cellStyle name="_OVO_Cash USD _Sheet1" xfId="1002" xr:uid="{DA14CC3F-5D84-4D2D-8CED-87E22DF98894}"/>
    <cellStyle name="_OVO_Cash USD _USD Assets" xfId="1003" xr:uid="{8910E036-3A93-43D7-84BD-2E4B963BE5CD}"/>
    <cellStyle name="_OVO_Current" xfId="1004" xr:uid="{1E8540BB-3483-428C-8C3C-99DE6948EBA5}"/>
    <cellStyle name="_OVO_FWD conts" xfId="1005" xr:uid="{3EE8E4FE-E725-4F88-8035-EE509CDFB92C}"/>
    <cellStyle name="_OVO_GDA_Q2" xfId="1006" xr:uid="{07F11FE5-950C-4CE4-B3EF-4971473E5AB8}"/>
    <cellStyle name="_OVO_Jan 1st  MFT" xfId="1007" xr:uid="{696853AE-49BE-4434-B64B-7773AE2A31E7}"/>
    <cellStyle name="_OVO_Jan 1st MFT" xfId="1008" xr:uid="{CD507DDF-BF55-452D-A390-4FB2253FE684}"/>
    <cellStyle name="_OVO_NAVs-SM" xfId="1009" xr:uid="{A7BC6C0E-F3B9-4E8D-879B-C340560C4082}"/>
    <cellStyle name="_OVO_Net Subs" xfId="1010" xr:uid="{E239DB6B-FA93-4D2C-8D19-DB73CEDD30DD}"/>
    <cellStyle name="_OVO_Pending" xfId="1011" xr:uid="{6F68DFC1-A150-4A69-897B-669CCEC785F0}"/>
    <cellStyle name="_OVO_Prices" xfId="1012" xr:uid="{744EBA17-A818-43A6-82E6-6DC81710A9F3}"/>
    <cellStyle name="_OVO_Prior Month" xfId="1013" xr:uid="{B7CC758B-8DA4-4C90-AC7A-40009F67E006}"/>
    <cellStyle name="_OVO_Prior month - FWD" xfId="1014" xr:uid="{2A58F2C6-52A5-4279-8797-548D666659FC}"/>
    <cellStyle name="_OVO_Prior month - FWD GL msa II" xfId="1015" xr:uid="{2CCF7C8D-2E5A-457A-873E-1A0D0A5D30E5}"/>
    <cellStyle name="_OVO_Rec" xfId="1016" xr:uid="{855132CB-5CF3-41DD-A0FC-6AC58D808C4B}"/>
    <cellStyle name="_OVO_Recalc" xfId="1017" xr:uid="{95EE8B60-0725-4567-BB1E-A7830D1B5749}"/>
    <cellStyle name="_OVO_SEPT 11 EST" xfId="1018" xr:uid="{94CF2C71-82AD-4B14-A2BB-15984709EEE2}"/>
    <cellStyle name="_OVO_SEPT 11 EST 2" xfId="1019" xr:uid="{85362CFA-E3B7-4417-8A30-D0DDCBF42DDC}"/>
    <cellStyle name="_OVO_SEPT 11 EST_Sheet1" xfId="1020" xr:uid="{2EA2FC48-D482-4A67-98D1-2CE0F92290A9}"/>
    <cellStyle name="_OVO_Sheet1" xfId="1021" xr:uid="{96E1202D-5510-4090-AA8E-3203C947827C}"/>
    <cellStyle name="_OVO_Sheet1_NAVs-SM" xfId="1022" xr:uid="{B98E1727-1ACD-47FC-84D5-C29707D30292}"/>
    <cellStyle name="_OVO_Summary" xfId="1023" xr:uid="{CC00F005-A362-49F4-A7CE-39FA02B29FE3}"/>
    <cellStyle name="_OVO_USD Assets" xfId="1024" xr:uid="{49841CC3-39BA-404E-BD67-574C80726FAD}"/>
    <cellStyle name="_PalatineHill 2008 Master Share Roll" xfId="1025" xr:uid="{574821A8-46E5-47FA-84CA-36FD64A4F314}"/>
    <cellStyle name="_PalatineHill 2008 Master Share Roll 2" xfId="1026" xr:uid="{F3ADE27F-DF58-4B22-9CB9-620DE77893D1}"/>
    <cellStyle name="_PalatineHill 2008 Master Share Roll_Sheet1" xfId="1027" xr:uid="{BE70D7B6-E574-4A5A-9D16-7B9B406E7F1A}"/>
    <cellStyle name="_Pending" xfId="1028" xr:uid="{0AD152CF-E9A9-4A80-A125-F91906688AA5}"/>
    <cellStyle name="_Pf" xfId="1029" xr:uid="{BCBDF94E-36A6-46D8-B876-53DA37245DC2}"/>
    <cellStyle name="_Pf 2" xfId="1030" xr:uid="{3912F683-4B02-461D-9FD0-6AEDB15CE327}"/>
    <cellStyle name="_Pf_Sheet1" xfId="1031" xr:uid="{BB4DE298-6E25-47A1-901D-20F820106ACD}"/>
    <cellStyle name="_POHF Cash Flow Indirect Method 12-31-06 Citco version" xfId="1032" xr:uid="{C5C0F4C4-5FCE-4B96-A21E-D67D9B634FF9}"/>
    <cellStyle name="_PORTFOLIO" xfId="1033" xr:uid="{AA4A856F-2512-4778-B133-9CDA9FDF3954}"/>
    <cellStyle name="_PORTFOLIO 2" xfId="1034" xr:uid="{3084A0F4-F1F5-45B4-AC6C-B618D035B4B6}"/>
    <cellStyle name="_PORTFOLIO_ Cash USD " xfId="1035" xr:uid="{05A501EC-6D4D-4923-ACC8-20871111A0D9}"/>
    <cellStyle name="_PORTFOLIO_2-Assets" xfId="1036" xr:uid="{73149A7F-F44E-4CDF-9A48-6DB1C239CAEE}"/>
    <cellStyle name="_PORTFOLIO_2-Assets 2" xfId="1037" xr:uid="{31256AC0-D0AC-4103-B4EB-D3447427DC18}"/>
    <cellStyle name="_PORTFOLIO_2-Assets_Sheet1" xfId="1038" xr:uid="{0A205809-E5B8-46EC-8D56-10A14C58FD8B}"/>
    <cellStyle name="_PORTFOLIO_Cash USD" xfId="1039" xr:uid="{B7C6CE4E-3380-41AA-8FEB-8E5355C3FFDF}"/>
    <cellStyle name="_PORTFOLIO_Cash USD " xfId="1040" xr:uid="{BC10238F-3504-4AE8-AE83-EA4FF1EA6658}"/>
    <cellStyle name="_PORTFOLIO_Cash USD _Current" xfId="1041" xr:uid="{31C1F1B4-5634-44D3-ADA8-AABAB4176826}"/>
    <cellStyle name="_PORTFOLIO_Cash USD _FWD conts" xfId="1042" xr:uid="{64BC1DE7-CE54-4E0D-BBB2-AE402414E539}"/>
    <cellStyle name="_PORTFOLIO_Cash USD _FWD conts_Current" xfId="1043" xr:uid="{DC7235A6-37C9-4C59-BB3E-FA4DC62D966E}"/>
    <cellStyle name="_PORTFOLIO_Cash USD _FWD conts_Pending" xfId="1044" xr:uid="{37A4A134-7688-46BA-B372-4776884ED002}"/>
    <cellStyle name="_PORTFOLIO_Cash USD _FWD conts_Prior month - FWD" xfId="1045" xr:uid="{314F65BF-E2AE-4910-9B02-C55239952F8F}"/>
    <cellStyle name="_PORTFOLIO_Cash USD _FWD conts_Prior month - FWD GL msa II" xfId="1046" xr:uid="{D7FAA14C-FA17-4AC0-9ED9-2DC0341DD351}"/>
    <cellStyle name="_PORTFOLIO_Cash USD _FWD conts_Recalc" xfId="1047" xr:uid="{3B07C0B2-BB79-4CD5-B942-CE1574EFBCA3}"/>
    <cellStyle name="_PORTFOLIO_Cash USD _FWD conts_USD Assets" xfId="1048" xr:uid="{8CAEF5A9-64BA-4252-B036-862D0E8F2C43}"/>
    <cellStyle name="_PORTFOLIO_Cash USD _Jan 1st MFT" xfId="1049" xr:uid="{6B34DAFA-9F0B-4012-BA74-475EBBD8BC39}"/>
    <cellStyle name="_PORTFOLIO_Cash USD _Pending" xfId="1050" xr:uid="{5DD0B87E-A83B-4F45-8EAF-54E0FAEEB258}"/>
    <cellStyle name="_PORTFOLIO_Cash USD _Prior month - FWD GL msa II" xfId="1051" xr:uid="{8733806E-630A-4D0E-9550-37CE88208532}"/>
    <cellStyle name="_PORTFOLIO_Cash USD _Recalc" xfId="1052" xr:uid="{E10A9CD0-C697-4758-B837-54ABD89DEF3E}"/>
    <cellStyle name="_PORTFOLIO_Cash USD _Sheet1" xfId="1053" xr:uid="{D6951CA6-ABC0-4144-9B73-12C60E7B2D9E}"/>
    <cellStyle name="_PORTFOLIO_Cash USD _USD Assets" xfId="1054" xr:uid="{8AD4C8F1-4379-4E35-9E1A-FED3F01D356F}"/>
    <cellStyle name="_PORTFOLIO_Current" xfId="1055" xr:uid="{278692B2-C19A-4DE3-848B-6140DB623792}"/>
    <cellStyle name="_PORTFOLIO_FWD conts" xfId="1056" xr:uid="{93D3141C-8156-4915-B6BF-B6D5D29AEC4F}"/>
    <cellStyle name="_PORTFOLIO_GDA_Q2" xfId="1057" xr:uid="{43EB4B32-8685-4FC8-8E70-44D9A5E00F55}"/>
    <cellStyle name="_PORTFOLIO_Jan 1st  MFT" xfId="1058" xr:uid="{2A10E186-08C6-47D2-B6CF-BEF581C3266E}"/>
    <cellStyle name="_PORTFOLIO_Jan 1st MFT" xfId="1059" xr:uid="{701A5E13-FC97-4248-AEB0-865F76BDF977}"/>
    <cellStyle name="_PORTFOLIO_NAVs-SM" xfId="1060" xr:uid="{26169FD7-6C29-4DFE-8998-ECA122A4E482}"/>
    <cellStyle name="_PORTFOLIO_Net Subs" xfId="1061" xr:uid="{539E29B7-4BE6-4341-84B8-9BFE1F0A1043}"/>
    <cellStyle name="_PORTFOLIO_Pending" xfId="1062" xr:uid="{A746FD34-06E3-4479-A8F2-1E0956DD1854}"/>
    <cellStyle name="_PORTFOLIO_Prices" xfId="1063" xr:uid="{C6F51AE6-8962-48E2-A024-891997FEE35B}"/>
    <cellStyle name="_PORTFOLIO_Prior Month" xfId="1064" xr:uid="{51837510-967E-4ABA-AEA5-4E57BBB9F59E}"/>
    <cellStyle name="_PORTFOLIO_Prior month - FWD" xfId="1065" xr:uid="{BA5C22A4-B443-409F-8572-5651D8BD1C50}"/>
    <cellStyle name="_PORTFOLIO_Prior month - FWD GL msa II" xfId="1066" xr:uid="{5E26AB53-784E-4761-9D80-5EEFCD28F031}"/>
    <cellStyle name="_PORTFOLIO_Rec" xfId="1067" xr:uid="{5EA624FA-D57A-46E8-B7BC-601997C27BD7}"/>
    <cellStyle name="_PORTFOLIO_Recalc" xfId="1068" xr:uid="{531570AB-399D-443E-AF92-96B3443BDDF3}"/>
    <cellStyle name="_PORTFOLIO_SEPT 11 EST" xfId="1069" xr:uid="{74CD13D9-1C84-4D82-863A-0A2935BCC589}"/>
    <cellStyle name="_PORTFOLIO_SEPT 11 EST 2" xfId="1070" xr:uid="{D7A29051-3F62-4692-BF39-77B799BDFE2B}"/>
    <cellStyle name="_PORTFOLIO_SEPT 11 EST_Sheet1" xfId="1071" xr:uid="{26242861-09C3-4299-ADCD-7F6ECD01B482}"/>
    <cellStyle name="_PORTFOLIO_Sheet1" xfId="1072" xr:uid="{0874244B-A646-47A9-8BC7-93F20CA22E17}"/>
    <cellStyle name="_PORTFOLIO_Sheet1_NAVs-SM" xfId="1073" xr:uid="{B9B3E2E6-E6B2-4D73-8675-B4F57771DECF}"/>
    <cellStyle name="_PORTFOLIO_Summary" xfId="1074" xr:uid="{D8B4292D-B37E-4857-9E4A-A7207CE1C4DA}"/>
    <cellStyle name="_PORTFOLIO_USD Assets" xfId="1075" xr:uid="{3CB1CAE7-9884-43BE-B2A8-3CDAF6EB4665}"/>
    <cellStyle name="_Positions Switched" xfId="1076" xr:uid="{F58472F2-9361-4747-A793-E8853CED16C2}"/>
    <cellStyle name="_Price Testing" xfId="1077" xr:uid="{94A49ED2-B267-4F50-A976-D027492CE412}"/>
    <cellStyle name="_Price Testing 2" xfId="1078" xr:uid="{B6171C81-6F6C-458E-B04F-F5911AD8C38D}"/>
    <cellStyle name="_Price Testing_ Cash USD " xfId="1079" xr:uid="{2CB303CA-C9EB-48A3-B143-936D95ABFBF7}"/>
    <cellStyle name="_Price Testing_2-Assets" xfId="1080" xr:uid="{F990C7E4-02A2-4EFC-9349-943AB390A3FF}"/>
    <cellStyle name="_Price Testing_2-Assets 2" xfId="1081" xr:uid="{95BE4751-1B2A-4A77-BA21-6EEE2AFBB583}"/>
    <cellStyle name="_Price Testing_2-Assets_Sheet1" xfId="1082" xr:uid="{674F9A6F-F579-4B7A-BA95-AD3C405299D6}"/>
    <cellStyle name="_Price Testing_Cash USD" xfId="1083" xr:uid="{765ECC56-5B26-4CFE-8722-1BF1AFBCBB54}"/>
    <cellStyle name="_Price Testing_Cash USD " xfId="1084" xr:uid="{1B4B0DD7-9CC3-4085-930C-0299B3A8D1CC}"/>
    <cellStyle name="_Price Testing_Cash USD _Current" xfId="1085" xr:uid="{8A275E51-88CD-4961-B1E1-7876F5EE5507}"/>
    <cellStyle name="_Price Testing_Cash USD _FWD conts" xfId="1086" xr:uid="{FA59D5C9-7622-4C12-9841-BE1536D1187B}"/>
    <cellStyle name="_Price Testing_Cash USD _FWD conts_Current" xfId="1087" xr:uid="{52C915C1-FFAF-4733-A8B0-9256B4B4B48A}"/>
    <cellStyle name="_Price Testing_Cash USD _FWD conts_Pending" xfId="1088" xr:uid="{24A72894-FAE5-4C71-922B-F5ADE5D9DE10}"/>
    <cellStyle name="_Price Testing_Cash USD _FWD conts_Prior month - FWD" xfId="1089" xr:uid="{CEB6C486-0CD8-48B1-9FC7-E7C2A2ED226B}"/>
    <cellStyle name="_Price Testing_Cash USD _FWD conts_Prior month - FWD GL msa II" xfId="1090" xr:uid="{F25446E2-22F0-45EF-80F9-D5D9CA71F651}"/>
    <cellStyle name="_Price Testing_Cash USD _FWD conts_Recalc" xfId="1091" xr:uid="{04465338-8CD9-4864-89F0-F3FB9EE4F272}"/>
    <cellStyle name="_Price Testing_Cash USD _FWD conts_USD Assets" xfId="1092" xr:uid="{96262F45-4DDD-4B62-976E-1F703D146F94}"/>
    <cellStyle name="_Price Testing_Cash USD _Jan 1st MFT" xfId="1093" xr:uid="{26C84E9E-E58E-4B50-990A-0C1D34213AFE}"/>
    <cellStyle name="_Price Testing_Cash USD _Pending" xfId="1094" xr:uid="{3DCE0E61-B925-4EB5-826E-16B792D9B4B0}"/>
    <cellStyle name="_Price Testing_Cash USD _Prior month - FWD GL msa II" xfId="1095" xr:uid="{16CDAC4F-CFF7-4B6A-8114-D72820348DE4}"/>
    <cellStyle name="_Price Testing_Cash USD _Recalc" xfId="1096" xr:uid="{40BEFF6D-DE6B-43EF-9F69-42C54B30B820}"/>
    <cellStyle name="_Price Testing_Cash USD _Sheet1" xfId="1097" xr:uid="{952C8193-9020-4669-8C40-7BEB303F663C}"/>
    <cellStyle name="_Price Testing_Cash USD _USD Assets" xfId="1098" xr:uid="{E3D89570-C297-4C32-96BC-96D7BE223A40}"/>
    <cellStyle name="_Price Testing_Current" xfId="1099" xr:uid="{812DCDF3-426C-404E-A814-5C42E955B71A}"/>
    <cellStyle name="_Price Testing_FWD conts" xfId="1100" xr:uid="{8E32BBEC-43E0-41EE-8FD5-4C308B474093}"/>
    <cellStyle name="_Price Testing_Jan 1st  MFT" xfId="1101" xr:uid="{33CEED0B-22BA-4050-93C6-BDC1B30B9150}"/>
    <cellStyle name="_Price Testing_Jan 1st MFT" xfId="1102" xr:uid="{ECFCE52E-35A8-41AC-8263-5D3A3983CF43}"/>
    <cellStyle name="_Price Testing_NAVs-SM" xfId="1103" xr:uid="{3AFD7424-ECD2-4C83-86D7-F869FDB7A55E}"/>
    <cellStyle name="_Price Testing_Pending" xfId="1104" xr:uid="{81F09319-F7D5-437C-A141-116C6BEC09FF}"/>
    <cellStyle name="_Price Testing_Prices" xfId="1105" xr:uid="{9A731E83-34CC-4E10-ACDD-1D60821A5551}"/>
    <cellStyle name="_Price Testing_Prior Month" xfId="1106" xr:uid="{DCD389FF-B2E6-4DEF-8238-D27CF826351F}"/>
    <cellStyle name="_Price Testing_Prior month - FWD" xfId="1107" xr:uid="{6BFD30C6-CB3A-4110-BBBE-BF87F9D5637D}"/>
    <cellStyle name="_Price Testing_Prior month - FWD GL msa II" xfId="1108" xr:uid="{F4E53CF8-B744-4A4D-84A2-F2720A46C716}"/>
    <cellStyle name="_Price Testing_Recalc" xfId="1109" xr:uid="{15C029F5-4929-481B-B405-49F03E422216}"/>
    <cellStyle name="_Price Testing_SEPT 11 EST" xfId="1110" xr:uid="{1EB4109D-D911-4715-A578-2BD6C5031C45}"/>
    <cellStyle name="_Price Testing_SEPT 11 EST 2" xfId="1111" xr:uid="{732A5252-108F-4D26-A57F-DDBD3493F7A4}"/>
    <cellStyle name="_Price Testing_SEPT 11 EST_Sheet1" xfId="1112" xr:uid="{3456AA8E-A115-4A6F-A162-7A5ED98E198F}"/>
    <cellStyle name="_Price Testing_Sheet1" xfId="1113" xr:uid="{03F0B9CB-3B9B-454C-BE4F-FC2CA0516F2C}"/>
    <cellStyle name="_Price Testing_Sheet1_NAVs-SM" xfId="1114" xr:uid="{F307A2D0-EB6C-471E-A74C-832FB28A4E85}"/>
    <cellStyle name="_Price Testing_USD Assets" xfId="1115" xr:uid="{B72E900C-3DF8-4C75-8FB6-5B085B860F35}"/>
    <cellStyle name="_Pricing" xfId="1116" xr:uid="{58B8FD38-1014-47EE-A6D1-16C2AC66617F}"/>
    <cellStyle name="_Products" xfId="1117" xr:uid="{439ED2F6-9534-489A-A0BB-2DDB058C9AF7}"/>
    <cellStyle name="_Products 2" xfId="1118" xr:uid="{4C6D08FC-A4BD-4832-91D0-AA013B3D00B8}"/>
    <cellStyle name="_Products_Sheet1" xfId="1119" xr:uid="{A4E7D53B-4C8A-4999-B712-7EE9F8122E53}"/>
    <cellStyle name="_Sep 30-2009" xfId="1120" xr:uid="{2EA41870-AADC-4B3E-A68A-AA2C690672FA}"/>
    <cellStyle name="_Sep 30-2009 2" xfId="1121" xr:uid="{DAF7B84D-21FC-496C-84CA-4B037109C8A7}"/>
    <cellStyle name="_Sep 30-2009_Sheet1" xfId="1122" xr:uid="{B5BCADA5-27E4-4CC3-A52C-7EB0674FFA7F}"/>
    <cellStyle name="_SEPTEMBER 30-2010" xfId="1123" xr:uid="{99B4A895-9C3F-48D8-87DD-3AD69FC5905F}"/>
    <cellStyle name="_Setup" xfId="1124" xr:uid="{C27DC54C-4852-4B1E-B763-F00289FBB392}"/>
    <cellStyle name="_Setup 2" xfId="1125" xr:uid="{FA01D17C-4572-4177-995B-56D02C9E4DF4}"/>
    <cellStyle name="_Setup_Sheet1" xfId="1126" xr:uid="{D2E92E2D-90BB-4669-855A-05B095D49A8F}"/>
    <cellStyle name="_Sheet AFA1" xfId="1127" xr:uid="{754801C1-BD7A-478D-909A-959C9462FBEB}"/>
    <cellStyle name="_Sheet1" xfId="1128" xr:uid="{96B0E1A2-CE9E-4185-8824-2D8A931DA71B}"/>
    <cellStyle name="_Sheet2" xfId="1129" xr:uid="{FCAEB670-4B9E-4FD9-9918-214F2A97726B}"/>
    <cellStyle name="_SheetAFA2" xfId="1130" xr:uid="{26FE8CB7-7A39-4C59-97C4-63B8BD1D918A}"/>
    <cellStyle name="_Status" xfId="1131" xr:uid="{5D554732-9513-4D0A-9066-D73941A6E0FC}"/>
    <cellStyle name="_SubHeading" xfId="1132" xr:uid="{BA223B30-7D26-4169-A0C2-551FB13E7A8E}"/>
    <cellStyle name="_Summary" xfId="1133" xr:uid="{857EE691-3160-43D2-912B-FEBDB55B81C3}"/>
    <cellStyle name="_Summary_Alpha Select EST 2009 10 16" xfId="1134" xr:uid="{7014FD61-9CF7-40A9-A5A3-10E7D4AD25D7}"/>
    <cellStyle name="_Summary_Fees &amp; NAV" xfId="1135" xr:uid="{B0D742A0-842D-4207-B843-A9045204DD52}"/>
    <cellStyle name="_Summary_Inv Portfolio" xfId="1136" xr:uid="{BA0A1874-4C93-4059-B6C4-28B2AB66E0CE}"/>
    <cellStyle name="_swap div-(RealGL)" xfId="1137" xr:uid="{DD82C4EA-8371-4598-AE0F-7AE1B9513954}"/>
    <cellStyle name="_swap div-(Unreal)" xfId="1138" xr:uid="{6DD57BB6-62B2-4234-878C-300891A0CDFD}"/>
    <cellStyle name="_Swap Dividends" xfId="1139" xr:uid="{E4F72C1F-132F-471D-8CAA-B55444426491}"/>
    <cellStyle name="_Swaps" xfId="1140" xr:uid="{E5FE7BFB-D3C2-479D-A4C5-A76F6CFCFAFA}"/>
    <cellStyle name="_Swaps - Group" xfId="1141" xr:uid="{70673314-6A60-446B-B1BB-26F844B51273}"/>
    <cellStyle name="_Swaps - Group 2" xfId="1142" xr:uid="{9C7CEFBB-E970-4A3D-B24C-4F01F7385125}"/>
    <cellStyle name="_Swaps - Group_Sheet1" xfId="1143" xr:uid="{024C5229-5D76-40EC-AA06-BF530039FD95}"/>
    <cellStyle name="_Swaps 2" xfId="1144" xr:uid="{67AA7731-C18F-4EFD-8AF1-A7E399C6AF58}"/>
    <cellStyle name="_Swaps_ Cash USD " xfId="1145" xr:uid="{568DD3BD-FA45-487C-8DE4-481AE6043EE3}"/>
    <cellStyle name="_Swaps_2-Assets" xfId="1146" xr:uid="{E665C230-F0A5-4068-AAAC-E4DEB0F0E93C}"/>
    <cellStyle name="_Swaps_2-Assets 2" xfId="1147" xr:uid="{D4FEB931-EC10-40EB-A69A-25F2DF3D2861}"/>
    <cellStyle name="_Swaps_2-Assets_Sheet1" xfId="1148" xr:uid="{978E1204-AD61-46E6-830F-7A90230320EE}"/>
    <cellStyle name="_Swaps_Cash USD" xfId="1149" xr:uid="{289D1926-48A8-4621-A749-96B52D495BF9}"/>
    <cellStyle name="_Swaps_Cash USD " xfId="1150" xr:uid="{1AAFBBA3-2DC5-463F-9392-11AE05A2CCDE}"/>
    <cellStyle name="_Swaps_Cash USD _Current" xfId="1151" xr:uid="{A891C922-9FD3-44BE-B412-9CAC0C9B73AE}"/>
    <cellStyle name="_Swaps_Cash USD _FWD conts" xfId="1152" xr:uid="{FE3F00C7-18A0-42DA-AB1F-712EAFC41BA9}"/>
    <cellStyle name="_Swaps_Cash USD _FWD conts_Current" xfId="1153" xr:uid="{88755960-ECB0-489E-B030-9265301936A0}"/>
    <cellStyle name="_Swaps_Cash USD _FWD conts_Pending" xfId="1154" xr:uid="{C18AF305-4589-4974-A595-2072880F766B}"/>
    <cellStyle name="_Swaps_Cash USD _FWD conts_Prior month - FWD" xfId="1155" xr:uid="{846E4F2C-C9E5-482E-8C5E-35636F697E99}"/>
    <cellStyle name="_Swaps_Cash USD _FWD conts_Prior month - FWD GL msa II" xfId="1156" xr:uid="{DC9D8546-DC65-47F2-932B-5469B8A2BB42}"/>
    <cellStyle name="_Swaps_Cash USD _FWD conts_Recalc" xfId="1157" xr:uid="{F2A1754B-B320-46FB-82F8-D469E48C9850}"/>
    <cellStyle name="_Swaps_Cash USD _FWD conts_USD Assets" xfId="1158" xr:uid="{35CD8FEE-28F9-44C4-9065-2809CF3696A1}"/>
    <cellStyle name="_Swaps_Cash USD _Jan 1st MFT" xfId="1159" xr:uid="{CE923B63-5765-489C-83EE-883EE41F41D8}"/>
    <cellStyle name="_Swaps_Cash USD _Pending" xfId="1160" xr:uid="{622FB97B-A089-41B4-AA00-741F0A7FF52A}"/>
    <cellStyle name="_Swaps_Cash USD _Prior month - FWD GL msa II" xfId="1161" xr:uid="{460A6D90-EA5D-4400-9EF9-9F486B25BFBD}"/>
    <cellStyle name="_Swaps_Cash USD _Recalc" xfId="1162" xr:uid="{F95FB2E4-FB63-4C97-B3C7-C12B2BF348C6}"/>
    <cellStyle name="_Swaps_Cash USD _Sheet1" xfId="1163" xr:uid="{99B806E1-59D2-4BB0-A17D-17174610C82A}"/>
    <cellStyle name="_Swaps_Cash USD _USD Assets" xfId="1164" xr:uid="{0F3C746F-8DC9-4FCE-B235-B227699D1B29}"/>
    <cellStyle name="_Swaps_Current" xfId="1165" xr:uid="{73084C25-F649-4548-9C3C-34B8D7150814}"/>
    <cellStyle name="_Swaps_FWD conts" xfId="1166" xr:uid="{66C618A9-F584-4A2C-8E6A-DCE8A3BD3752}"/>
    <cellStyle name="_Swaps_Jan 1st  MFT" xfId="1167" xr:uid="{B907938B-6999-4054-A1BA-568D45BE310F}"/>
    <cellStyle name="_Swaps_Jan 1st MFT" xfId="1168" xr:uid="{06354A07-6D4C-4BDF-B384-BD6FC07EA2EB}"/>
    <cellStyle name="_Swaps_NAVs-SM" xfId="1169" xr:uid="{8E1E1A7D-3E3B-4413-8DCC-F1AE05BEACC9}"/>
    <cellStyle name="_Swaps_Pending" xfId="1170" xr:uid="{D25BF34F-21D9-45F9-AAF1-2308224D0314}"/>
    <cellStyle name="_Swaps_Prices" xfId="1171" xr:uid="{D5EC5CE0-878C-4E84-9B56-9842F017FBB7}"/>
    <cellStyle name="_Swaps_Prior Month" xfId="1172" xr:uid="{96D6CB6A-488F-4AD3-8854-0C67CE08C8E2}"/>
    <cellStyle name="_Swaps_Prior month - FWD" xfId="1173" xr:uid="{9C70BB1B-4BB3-461A-93AF-CF9AD08DC972}"/>
    <cellStyle name="_Swaps_Prior month - FWD GL msa II" xfId="1174" xr:uid="{44C9570A-D3D2-4BED-B78D-5E075BA158C7}"/>
    <cellStyle name="_Swaps_Recalc" xfId="1175" xr:uid="{19E09B08-68AF-4777-8B87-60C9C48DD6C5}"/>
    <cellStyle name="_Swaps_SEPT 11 EST" xfId="1176" xr:uid="{6D535529-0A17-4619-AB7D-D1F06C9CA095}"/>
    <cellStyle name="_Swaps_SEPT 11 EST 2" xfId="1177" xr:uid="{13823220-1F25-4276-8B77-25C5CD7F1F69}"/>
    <cellStyle name="_Swaps_SEPT 11 EST_Sheet1" xfId="1178" xr:uid="{14D25AED-4A74-4CD6-BAAF-413DC5596AE1}"/>
    <cellStyle name="_Swaps_Sheet1" xfId="1179" xr:uid="{A8390250-8756-4411-A628-30A8FD79BBDE}"/>
    <cellStyle name="_Swaps_Sheet1_NAVs-SM" xfId="1180" xr:uid="{BB7947A7-F03F-4175-8E4F-301239485BCE}"/>
    <cellStyle name="_Swaps_USD Assets" xfId="1181" xr:uid="{3223C249-B2E0-40FE-8562-58BB2EF69D59}"/>
    <cellStyle name="_Table" xfId="1182" xr:uid="{4CFDA36E-A5EE-4B55-91C9-CECC4B896777}"/>
    <cellStyle name="_Table 2" xfId="2090" xr:uid="{E0F58F37-2589-4D0A-B234-942E25E499E8}"/>
    <cellStyle name="_Table_ Cash USD " xfId="1183" xr:uid="{BA36423D-0E20-4540-BB7D-15459EA71269}"/>
    <cellStyle name="_Table_ Cash USD  2" xfId="2089" xr:uid="{BB23D646-04BD-4C65-912F-8BC3464570D1}"/>
    <cellStyle name="_Table_Cash USD" xfId="1184" xr:uid="{EFFB5651-F172-4B4D-B4B6-DEE8DECB44F0}"/>
    <cellStyle name="_Table_Cash USD " xfId="1185" xr:uid="{FB466DC7-B199-4D3B-8A48-3A0F82CA34C6}"/>
    <cellStyle name="_Table_Cash USD  2" xfId="2087" xr:uid="{D8A22199-58FE-496A-A169-E9D11F114153}"/>
    <cellStyle name="_Table_Cash USD _Current" xfId="1186" xr:uid="{C30F313C-F1B2-4BD8-A978-A6A8702187E5}"/>
    <cellStyle name="_Table_Cash USD _Current 2" xfId="2086" xr:uid="{1A2BDA2D-5874-42F7-A222-ABE3A9B19509}"/>
    <cellStyle name="_Table_Cash USD _FWD conts" xfId="1187" xr:uid="{A5E30AF3-F2BA-41DD-9836-0463ADF2F1F9}"/>
    <cellStyle name="_Table_Cash USD _FWD conts 2" xfId="2085" xr:uid="{3ACC0DC2-6066-440C-A72C-A6EB50823347}"/>
    <cellStyle name="_Table_Cash USD _FWD conts_Current" xfId="1188" xr:uid="{AF328B61-6532-4C64-BFC5-3DAD66BA238E}"/>
    <cellStyle name="_Table_Cash USD _FWD conts_Current 2" xfId="2084" xr:uid="{D5F0B430-AC60-494D-849A-EB43B2B0FE90}"/>
    <cellStyle name="_Table_Cash USD _FWD conts_Pending" xfId="1189" xr:uid="{36CDA99E-CC0A-4429-B9B4-6545E14B31E8}"/>
    <cellStyle name="_Table_Cash USD _FWD conts_Pending 2" xfId="2083" xr:uid="{E18306CD-5945-440C-9718-0C22BD68484E}"/>
    <cellStyle name="_Table_Cash USD _FWD conts_Prior month - FWD" xfId="1190" xr:uid="{9D8A5D68-E4E6-49AE-AAF2-9401C8295905}"/>
    <cellStyle name="_Table_Cash USD _FWD conts_Prior month - FWD 2" xfId="2082" xr:uid="{5D5627A7-25F1-402E-A2E0-198C43564586}"/>
    <cellStyle name="_Table_Cash USD _FWD conts_Prior month - FWD GL msa II" xfId="1191" xr:uid="{174DB2F5-488E-4A1B-8439-8483EAA680FD}"/>
    <cellStyle name="_Table_Cash USD _FWD conts_Prior month - FWD GL msa II 2" xfId="2081" xr:uid="{57FEF8D1-3385-4DAF-963C-3F8F55691347}"/>
    <cellStyle name="_Table_Cash USD _FWD conts_Recalc" xfId="1192" xr:uid="{715758EE-8F2B-4C3C-9156-2434700C0FA0}"/>
    <cellStyle name="_Table_Cash USD _FWD conts_Recalc 2" xfId="2080" xr:uid="{B7AE2781-DF41-41F9-86E9-0F944BBE2B7A}"/>
    <cellStyle name="_Table_Cash USD _FWD conts_USD Assets" xfId="1193" xr:uid="{5BD93620-D584-49DB-9600-B335A8240648}"/>
    <cellStyle name="_Table_Cash USD _FWD conts_USD Assets 2" xfId="2079" xr:uid="{EB65CAEA-A2B7-469F-93CA-D60C2A15FE5C}"/>
    <cellStyle name="_Table_Cash USD _Jan 1st MFT" xfId="1194" xr:uid="{5BEE5FDC-76AF-4AFD-9D89-0E8937FC10F7}"/>
    <cellStyle name="_Table_Cash USD _Jan 1st MFT 2" xfId="2078" xr:uid="{6DB4D1A4-FD0E-48A0-97B3-C626B1CF7A96}"/>
    <cellStyle name="_Table_Cash USD _Pending" xfId="1195" xr:uid="{9F8B0395-62BF-4FF6-B5F3-C1C3BCC81090}"/>
    <cellStyle name="_Table_Cash USD _Pending 2" xfId="2077" xr:uid="{69F77141-A11E-43BD-AC10-227CD66256BC}"/>
    <cellStyle name="_Table_Cash USD _Prior month - FWD GL msa II" xfId="1196" xr:uid="{6202C988-83BD-4EA2-B6C5-18B49F46D643}"/>
    <cellStyle name="_Table_Cash USD _Prior month - FWD GL msa II 2" xfId="2076" xr:uid="{46484FDC-57FE-49A3-828C-909995902610}"/>
    <cellStyle name="_Table_Cash USD _Recalc" xfId="1197" xr:uid="{8FD75E43-B9FA-4582-A72D-8AE6A91A850D}"/>
    <cellStyle name="_Table_Cash USD _Recalc 2" xfId="2075" xr:uid="{9C31A872-49E6-41F7-97B9-BFE9C7486F09}"/>
    <cellStyle name="_Table_Cash USD _Sheet1" xfId="1198" xr:uid="{D58427B5-8D00-4A27-B94B-8B58D71E20AC}"/>
    <cellStyle name="_Table_Cash USD _Sheet1 2" xfId="2074" xr:uid="{79148E84-731D-4331-B556-3270FC62CB7A}"/>
    <cellStyle name="_Table_Cash USD _USD Assets" xfId="1199" xr:uid="{6E51140B-D643-4D50-BFFB-AF642E12A54D}"/>
    <cellStyle name="_Table_Cash USD _USD Assets 2" xfId="2073" xr:uid="{4EB32656-AA20-4559-9550-B9B70B1042E6}"/>
    <cellStyle name="_Table_Cash USD 2" xfId="2088" xr:uid="{0B525F86-5947-4EA2-AB0E-F47E959067AC}"/>
    <cellStyle name="_Table_Cash USD 3" xfId="2091" xr:uid="{B1A5B2A4-CC70-4B3A-B2BD-60791F662A18}"/>
    <cellStyle name="_Table_Current" xfId="1200" xr:uid="{0906DC32-AE90-41BE-880A-F43F647BF0ED}"/>
    <cellStyle name="_Table_Current 2" xfId="2072" xr:uid="{E2057D4F-6E03-47AC-847D-2290701C18FF}"/>
    <cellStyle name="_Table_FWD conts" xfId="1201" xr:uid="{3F6D426F-4CAC-4155-8165-7FAAB2F6CE14}"/>
    <cellStyle name="_Table_FWD conts 2" xfId="2071" xr:uid="{552B63C4-D6EE-47C4-A183-5C3B656F6735}"/>
    <cellStyle name="_Table_Jan 1st  MFT" xfId="1202" xr:uid="{BA4B12F5-908C-4E10-ABCF-93117321E6B9}"/>
    <cellStyle name="_Table_Jan 1st  MFT 2" xfId="2070" xr:uid="{D8E8C277-D4BC-4785-9A43-EC71B82D67B7}"/>
    <cellStyle name="_Table_Jan 1st MFT" xfId="1203" xr:uid="{89892C32-C95C-4803-BF12-4944D57E9AE7}"/>
    <cellStyle name="_Table_Jan 1st MFT 2" xfId="2069" xr:uid="{4B28B64F-9324-4ED4-974D-C1801083B160}"/>
    <cellStyle name="_Table_NAVs-SM" xfId="1204" xr:uid="{29585640-777A-4BC1-9ED1-4E299B15416B}"/>
    <cellStyle name="_Table_NAVs-SM 2" xfId="2068" xr:uid="{F742B007-7539-4202-9BA7-92F0ABF2A9F1}"/>
    <cellStyle name="_Table_Pending" xfId="1205" xr:uid="{03525EAD-5C55-4064-8679-B52C7250A4D7}"/>
    <cellStyle name="_Table_Pending 2" xfId="2067" xr:uid="{A21FE95E-2606-4123-88E3-83FA6E29F102}"/>
    <cellStyle name="_Table_Prices" xfId="1206" xr:uid="{20154006-8B89-44A2-A14F-794786217335}"/>
    <cellStyle name="_Table_Prices 2" xfId="2066" xr:uid="{3519AFFD-073B-4157-80E9-5A3DF3855C85}"/>
    <cellStyle name="_Table_Prior Month" xfId="1207" xr:uid="{86A99C3A-17C6-4BB3-911F-DDF3E5CEDBFD}"/>
    <cellStyle name="_Table_Prior month - FWD" xfId="1208" xr:uid="{028A05E9-2335-4555-8DF0-46F144E415AE}"/>
    <cellStyle name="_Table_Prior month - FWD 2" xfId="2064" xr:uid="{ADCE5E2A-4D23-422F-92F0-5145E7AA11BD}"/>
    <cellStyle name="_Table_Prior month - FWD GL msa II" xfId="1209" xr:uid="{A139F2C6-05A3-4F38-AAD2-FC9997A496E6}"/>
    <cellStyle name="_Table_Prior month - FWD GL msa II 2" xfId="2063" xr:uid="{6877A959-C322-491E-A61C-52C3BA24CC75}"/>
    <cellStyle name="_Table_Prior Month 2" xfId="2065" xr:uid="{DFE54ACF-5CFB-4327-8597-E42FFB440073}"/>
    <cellStyle name="_Table_Prior Month 3" xfId="2092" xr:uid="{D1A8F4A6-D454-44A9-B3B5-A5892218259B}"/>
    <cellStyle name="_Table_Rec" xfId="1210" xr:uid="{D9AB208F-D6CB-4A5C-95DA-A306453284B3}"/>
    <cellStyle name="_Table_Rec 2" xfId="2062" xr:uid="{D9C4CB7C-4360-4E7A-814E-F8DA0AC78839}"/>
    <cellStyle name="_Table_Recalc" xfId="1211" xr:uid="{101D5476-E45A-4C55-B3B2-7D361913F719}"/>
    <cellStyle name="_Table_Recalc 2" xfId="2061" xr:uid="{EC02EB03-64E2-4B80-8C91-59E330643AA3}"/>
    <cellStyle name="_Table_SEPT 11 EST" xfId="1212" xr:uid="{0BAE7DA6-557F-4ACC-86BE-055E8DC5D053}"/>
    <cellStyle name="_Table_SEPT 11 EST 2" xfId="2060" xr:uid="{8CC88507-B147-4BFD-88A5-803D501E6A48}"/>
    <cellStyle name="_Table_SEPT 11 EST_Sheet1" xfId="1213" xr:uid="{4FB647BD-A43F-47E6-9D88-E65F6CAB15E7}"/>
    <cellStyle name="_Table_SEPT 11 EST_Sheet1 2" xfId="2059" xr:uid="{5486AA6A-0D3B-4F35-A166-2CB0C78A2101}"/>
    <cellStyle name="_Table_Sheet1" xfId="1214" xr:uid="{6A684B30-B1C9-4E8E-81D6-7D0D6E0102C8}"/>
    <cellStyle name="_Table_Sheet1 2" xfId="2058" xr:uid="{4FA55B22-122D-48B6-9A45-DF08110BB8F5}"/>
    <cellStyle name="_Table_Sheet1_NAVs-SM" xfId="1215" xr:uid="{D9DF738F-3375-48FD-B4E0-0A806A994967}"/>
    <cellStyle name="_Table_Sheet1_NAVs-SM 2" xfId="2057" xr:uid="{670D5017-B626-45F1-AA0D-6494612EAE30}"/>
    <cellStyle name="_Table_Summary" xfId="1216" xr:uid="{3E90D7AE-49DC-49B8-B1F1-CDC406355BD9}"/>
    <cellStyle name="_Table_Summary 2" xfId="2056" xr:uid="{F7AFFFE2-C8D3-4664-8215-E1C4CBE4E128}"/>
    <cellStyle name="_Table_USD Assets" xfId="1217" xr:uid="{A6731456-0F59-449C-B896-740EF33D4637}"/>
    <cellStyle name="_Table_USD Assets 2" xfId="2055" xr:uid="{9E1AB85D-B99A-4695-9D54-454FE83C6770}"/>
    <cellStyle name="_TableHead" xfId="1218" xr:uid="{4B0E1B83-3879-4AB6-A461-E56B5C148F8A}"/>
    <cellStyle name="_TableHead_ Cash USD " xfId="1219" xr:uid="{01611BEC-7E33-44A9-9C8C-94A774CFCB28}"/>
    <cellStyle name="_TableHead_Cash USD" xfId="1220" xr:uid="{7E177A91-AD8C-4527-889F-86A90ABB0D09}"/>
    <cellStyle name="_TableHead_Cash USD " xfId="1221" xr:uid="{8CDF827C-23C1-49A5-ABEC-9E4344BE59AE}"/>
    <cellStyle name="_TableHead_Cash USD _Current" xfId="1222" xr:uid="{5F3018C0-07A1-4B11-96D5-9CB03E3CD386}"/>
    <cellStyle name="_TableHead_Cash USD _FWD conts" xfId="1223" xr:uid="{47764E20-F349-46E7-B6AD-52F6FEEE9BFD}"/>
    <cellStyle name="_TableHead_Cash USD _FWD conts_Current" xfId="1224" xr:uid="{A0A31C8E-984B-4D77-A27C-F21739A0C734}"/>
    <cellStyle name="_TableHead_Cash USD _FWD conts_Pending" xfId="1225" xr:uid="{355BE219-F28E-4090-AF92-5F4DB7DF0ECF}"/>
    <cellStyle name="_TableHead_Cash USD _FWD conts_Prior month - FWD" xfId="1226" xr:uid="{FCD5330E-2285-4BAD-94F9-750A492547EE}"/>
    <cellStyle name="_TableHead_Cash USD _FWD conts_Prior month - FWD GL msa II" xfId="1227" xr:uid="{C5132279-FE20-46E4-94F9-7E96F9642ED1}"/>
    <cellStyle name="_TableHead_Cash USD _FWD conts_Recalc" xfId="1228" xr:uid="{CA537E4B-B12C-48D5-8A74-F95EE4A2FB97}"/>
    <cellStyle name="_TableHead_Cash USD _FWD conts_USD Assets" xfId="1229" xr:uid="{4C9C64DF-4FB7-42EE-A09F-D659003643DA}"/>
    <cellStyle name="_TableHead_Cash USD _Jan 1st MFT" xfId="1230" xr:uid="{A96F6E21-653B-4701-922B-6F05476B29A9}"/>
    <cellStyle name="_TableHead_Cash USD _Pending" xfId="1231" xr:uid="{120474EB-0930-4195-8428-74A7D165730F}"/>
    <cellStyle name="_TableHead_Cash USD _Prior month - FWD GL msa II" xfId="1232" xr:uid="{E3680FCE-B9F9-4380-A45E-5C603A1736BE}"/>
    <cellStyle name="_TableHead_Cash USD _Recalc" xfId="1233" xr:uid="{3AE68AFB-624C-4ACB-89FD-DDC64F154619}"/>
    <cellStyle name="_TableHead_Cash USD _Sheet1" xfId="1234" xr:uid="{30297C9F-63BE-4A2B-A1A6-5740A13E1A23}"/>
    <cellStyle name="_TableHead_Cash USD _USD Assets" xfId="1235" xr:uid="{D3A956A0-6F0E-4C59-B33C-F5645C3BFC8B}"/>
    <cellStyle name="_TableHead_Current" xfId="1236" xr:uid="{E280DA97-7646-401B-AF3D-765D7DD3325C}"/>
    <cellStyle name="_TableHead_FWD conts" xfId="1237" xr:uid="{40311601-1459-488C-96F8-63B504244C62}"/>
    <cellStyle name="_TableHead_Jan 1st  MFT" xfId="1238" xr:uid="{AA10120F-877E-4649-8C8D-4F5D500FFBF6}"/>
    <cellStyle name="_TableHead_Jan 1st MFT" xfId="1239" xr:uid="{0F01CB88-0A17-417B-BCD9-1F8090C4AB38}"/>
    <cellStyle name="_TableHead_NAVs-SM" xfId="1240" xr:uid="{B43E3DD9-E5A4-4EBF-A65D-035888A6B3A8}"/>
    <cellStyle name="_TableHead_Pending" xfId="1241" xr:uid="{942D27E2-4355-4887-94B3-80FF66BBF931}"/>
    <cellStyle name="_TableHead_Prices" xfId="1242" xr:uid="{2D656970-C058-4BFB-9BCC-51FA5254D2DD}"/>
    <cellStyle name="_TableHead_Prior Month" xfId="1243" xr:uid="{C5914CD1-2973-46DD-BD60-296CAE72390E}"/>
    <cellStyle name="_TableHead_Prior month - FWD" xfId="1244" xr:uid="{A68857DC-3EB8-4B13-A24E-26D11B9FA6F7}"/>
    <cellStyle name="_TableHead_Prior month - FWD GL msa II" xfId="1245" xr:uid="{A3B95127-8A6F-4F99-B94A-993B82DF3C0B}"/>
    <cellStyle name="_TableHead_Rec" xfId="1246" xr:uid="{64070AD1-1D21-4058-8DD4-FC9B6C03FFFB}"/>
    <cellStyle name="_TableHead_Recalc" xfId="1247" xr:uid="{6F3D8013-A78A-4250-B60F-985654080EA8}"/>
    <cellStyle name="_TableHead_SEPT 11 EST" xfId="1248" xr:uid="{6B9CFCFB-2CD6-4EA3-9B58-0C211162B5AB}"/>
    <cellStyle name="_TableHead_SEPT 11 EST_Sheet1" xfId="1249" xr:uid="{9F62E12D-5274-4E3D-A0D9-B5BD0C7D79DF}"/>
    <cellStyle name="_TableHead_Sheet1" xfId="1250" xr:uid="{1A1624CF-4C89-43C1-8C8C-C366BE35B838}"/>
    <cellStyle name="_TableHead_Sheet1_NAVs-SM" xfId="1251" xr:uid="{25ECA0D0-706B-4842-8216-7B825C1E2D9F}"/>
    <cellStyle name="_TableHead_Summary" xfId="1252" xr:uid="{B1DB5FA1-157F-4D16-8BC6-DEEBCAC210A8}"/>
    <cellStyle name="_TableHead_USD Assets" xfId="1253" xr:uid="{EF598301-CF10-46E3-AA32-5A60E32D12EE}"/>
    <cellStyle name="_TableRowHead" xfId="1254" xr:uid="{41F5BC57-2452-4D8A-BF41-E7A3A4107ABD}"/>
    <cellStyle name="_TableSuperHead" xfId="1255" xr:uid="{2F77DEE3-3ECD-420E-8E0E-EA6AEEE188D8}"/>
    <cellStyle name="_Top_Side_Adjustments V1" xfId="1256" xr:uid="{E15341A4-7CAD-48F7-B4F4-3EA4FA4BE233}"/>
    <cellStyle name="_Uniqa Deal Analysis" xfId="1257" xr:uid="{4AA681DE-DFFF-41DD-ABFF-8A41987235D3}"/>
    <cellStyle name="_Uniqa Deal Analysis (2)" xfId="1258" xr:uid="{80C4C5D3-F1AB-4004-8FA2-3579E71EDA57}"/>
    <cellStyle name="_Uniqa Deal Analysis (2) 2" xfId="1259" xr:uid="{0EAA84E5-FCCB-441D-8D22-F7BC6467F718}"/>
    <cellStyle name="_Uniqa Deal Analysis (2)_Sheet1" xfId="1260" xr:uid="{146E805A-5405-42FD-8B10-C2343E577B4E}"/>
    <cellStyle name="_Uniqa Deal Analysis 2" xfId="1261" xr:uid="{5579D7F3-3F95-4A4D-8B7A-91D61B90FDF9}"/>
    <cellStyle name="_Uniqa Deal Analysis_Sheet1" xfId="1262" xr:uid="{83F0ACE3-EF0A-4A51-9332-D6E872B28434}"/>
    <cellStyle name="_Unrealized roll forward Ephesus-O'Connnor" xfId="1263" xr:uid="{E13A47DF-F599-4000-89D4-570503D79B5D}"/>
    <cellStyle name="_USD Assets" xfId="1264" xr:uid="{EBEEAE7D-73A8-48F3-A87B-F50F63D25FAA}"/>
    <cellStyle name="_Warrants Testing" xfId="1265" xr:uid="{97104A85-31D4-4ED9-9BCD-8406AAD65CD9}"/>
    <cellStyle name="_Warrants Testing 2" xfId="1266" xr:uid="{784F9C22-1A01-4448-A5B2-5B28FBAE4115}"/>
    <cellStyle name="_Warrants Testing_Sheet1" xfId="1267" xr:uid="{4369531A-6329-4AB5-B482-046C9B978D45}"/>
    <cellStyle name="_xls4D7" xfId="1268" xr:uid="{6795D3C3-BD60-4ABA-8459-C63976EF1C6A}"/>
    <cellStyle name="_xls4D7 2" xfId="1269" xr:uid="{A30F7775-827B-46A8-AEB5-C5817350E04D}"/>
    <cellStyle name="_xls4D7_2-Assets" xfId="1270" xr:uid="{4BB4B778-C880-4680-91FC-789FC2B90C77}"/>
    <cellStyle name="_xls4D7_2-Assets 2" xfId="1271" xr:uid="{00BFAD92-A060-47B8-B788-9E996D57EFF8}"/>
    <cellStyle name="_xls4D7_2-Assets_Sheet1" xfId="1272" xr:uid="{D1DE7A6F-39AE-486C-B7BB-1575E2EF97FD}"/>
    <cellStyle name="_xls4D7_NAVs-SM" xfId="1273" xr:uid="{D98FC8DE-95D1-426D-9261-AE9555E2B3C8}"/>
    <cellStyle name="_xls4D7_Sheet1" xfId="1274" xr:uid="{B44AF62C-0481-41F5-9E5B-28EA3A91FF37}"/>
    <cellStyle name="£ BP" xfId="1275" xr:uid="{E112E652-1668-4C2A-869C-42E142A71E3E}"/>
    <cellStyle name="£ BP 2" xfId="1276" xr:uid="{99AF62DE-ED3A-4619-B09A-A2C41E9BD36E}"/>
    <cellStyle name="¥ JY" xfId="1277" xr:uid="{8A722C83-4B85-46D9-A773-1871C775376A}"/>
    <cellStyle name="¥ JY 2" xfId="1278" xr:uid="{B078E294-DA47-4CC3-9FA5-FCC2DFB59C5B}"/>
    <cellStyle name="=C:\WINNT35\SYSTEM32\COMMAND.COM" xfId="3" xr:uid="{301727BD-628D-49D1-A081-19955AC6DAD8}"/>
    <cellStyle name="=C:\WINNT35\SYSTEM32\COMMAND.COM 2" xfId="1280" xr:uid="{71ED1BA2-1880-4F77-9D98-7FFC730EC0E8}"/>
    <cellStyle name="=C:\WINNT35\SYSTEM32\COMMAND.COM 3" xfId="1279" xr:uid="{CEE40469-F9EA-400F-B774-82900B369635}"/>
    <cellStyle name="=C:\WINNT35\SYSTEM32\COMMAND.COM_Pending" xfId="1281" xr:uid="{9D29F4C8-EE9F-4A95-AD94-7DA2E0C3F5D6}"/>
    <cellStyle name="•W€_NewOriginal100" xfId="1282" xr:uid="{9CB8881B-27A8-4570-8C64-634B754A9252}"/>
    <cellStyle name="9065.186" xfId="1283" xr:uid="{14F8FD9C-FA4A-4B16-B0EA-898F555F3A94}"/>
    <cellStyle name="accounting" xfId="1284" xr:uid="{6072E59D-52B2-480C-A8BC-B81C9BB2E6B0}"/>
    <cellStyle name="Accounting w/$" xfId="1285" xr:uid="{695766E6-C19A-45F3-9FA8-36976D23AD29}"/>
    <cellStyle name="Accounting w/$ Total" xfId="1286" xr:uid="{C4EE8606-C8EB-49CA-9545-7A0214C8D8E1}"/>
    <cellStyle name="Accounting w/$ Total 2" xfId="1287" xr:uid="{A7CB7D89-505E-47E1-A64A-80A4C85F59A5}"/>
    <cellStyle name="Accounting w/$ Total_Current" xfId="1288" xr:uid="{FAC9A11B-625A-4F1B-9C81-7DF96A3AC832}"/>
    <cellStyle name="Accounting w/o $" xfId="1289" xr:uid="{604A228A-4BCA-4501-90DC-106D1209B14D}"/>
    <cellStyle name="Accounting w/o $ 2" xfId="1290" xr:uid="{34894888-C1CE-4F19-9F47-E17CB1B2A59A}"/>
    <cellStyle name="AlternateRowStyle" xfId="1291" xr:uid="{E30BF797-6598-48FD-B76D-2FCBEF4C7CBF}"/>
    <cellStyle name="Availability" xfId="1292" xr:uid="{823E97F0-92ED-42E2-AA73-08D312C69277}"/>
    <cellStyle name="Bid Lables" xfId="1293" xr:uid="{4A369347-9C52-4779-A6A5-31C8619F1624}"/>
    <cellStyle name="Bid Lables 2" xfId="1294" xr:uid="{7CC518B7-8F19-4DCC-B589-2BD8B80537A4}"/>
    <cellStyle name="Bid Lables_NAVs-SM" xfId="1295" xr:uid="{9830A7D2-4766-4E80-9693-415C8F62ABD5}"/>
    <cellStyle name="BlankedZeros" xfId="1296" xr:uid="{E7696C7D-C842-4226-8ABF-A205AADDE9B8}"/>
    <cellStyle name="Bold/Border" xfId="1297" xr:uid="{A1F794A9-1DC1-4A23-91DD-EAD27F2BBDDE}"/>
    <cellStyle name="Border Heavy" xfId="1298" xr:uid="{F5C8EAD9-E7C8-4703-8486-FDDCD39214C6}"/>
    <cellStyle name="Border Thin" xfId="1299" xr:uid="{9B2A91F1-084D-4BA2-AA31-EC9244ABBA4F}"/>
    <cellStyle name="Border, Bottom" xfId="1300" xr:uid="{6EB0C159-8FB6-4548-B3AD-E114F2DA3F66}"/>
    <cellStyle name="Border, Left" xfId="1301" xr:uid="{A73F5D26-E147-4270-8E47-D942A94E4101}"/>
    <cellStyle name="Border, Right" xfId="1302" xr:uid="{10AD4FA3-9E14-4436-AC96-B1FC7C47AFA1}"/>
    <cellStyle name="Border, Top" xfId="1303" xr:uid="{84FB752A-B037-4A61-BEE8-C51DEB9C1AC5}"/>
    <cellStyle name="Bottom bold border" xfId="1304" xr:uid="{EBC0718C-9518-4728-A4CC-09BB28DD1FD1}"/>
    <cellStyle name="Bottom single border" xfId="1305" xr:uid="{A272885E-F2C8-400A-B51A-4E2317CF2335}"/>
    <cellStyle name="Bullet" xfId="1306" xr:uid="{D3EB8893-5E0B-42D4-A8BF-8BF7DA3E9F0F}"/>
    <cellStyle name="Bullet 2" xfId="1307" xr:uid="{0CE0CDFC-D2DD-4FA1-8129-760321ECBCA4}"/>
    <cellStyle name="Calc Currency (0)" xfId="1308" xr:uid="{EA5F61EF-BF85-44A7-9C46-2F3CC8AC6ED9}"/>
    <cellStyle name="Calc Currency (2)" xfId="1309" xr:uid="{DFB093BE-F250-4FBC-8C00-D6B348150B74}"/>
    <cellStyle name="Calc Percent (0)" xfId="1310" xr:uid="{5C7D015F-2E80-4618-99F1-14021F70CD3A}"/>
    <cellStyle name="Calc Percent (1)" xfId="1311" xr:uid="{6B45C14D-5D3A-4EF9-8051-41630DFA3D4F}"/>
    <cellStyle name="Calc Percent (2)" xfId="1312" xr:uid="{49838002-4525-42E5-B13A-D4E4AB28ECCD}"/>
    <cellStyle name="Calc Percent (2) 2" xfId="1313" xr:uid="{D8F120E1-1653-4800-810D-C040A405EB90}"/>
    <cellStyle name="Calc Percent (2)_Sheet1" xfId="1314" xr:uid="{74979669-8C0A-44C2-B98F-A05D336FEA51}"/>
    <cellStyle name="Calc Units (0)" xfId="1315" xr:uid="{98DFAD5E-2B12-4C2D-87D8-4427BC85BEF3}"/>
    <cellStyle name="Calc Units (1)" xfId="1316" xr:uid="{C5C10464-632A-4732-9AD4-C69CF823E3C0}"/>
    <cellStyle name="Calc Units (2)" xfId="1317" xr:uid="{BDC9E5B2-0781-432D-92FE-F1E6AD353CE4}"/>
    <cellStyle name="Cash Roll" xfId="1318" xr:uid="{A48FCDB4-DD3A-41A0-B87A-3DA8CCFD629E}"/>
    <cellStyle name="Cash Roll 2" xfId="1319" xr:uid="{ED893FFB-CB4D-4DB8-A6FD-9DF190CB4F4C}"/>
    <cellStyle name="CBF$Number" xfId="1320" xr:uid="{CACEFBC7-1FDD-4E99-B2BD-E9822CB6E596}"/>
    <cellStyle name="CBFFundName" xfId="1321" xr:uid="{FE8DCE99-1BC9-4EF4-906A-92730ACAD123}"/>
    <cellStyle name="CBFHeader" xfId="1322" xr:uid="{F62A842F-FEAC-4FD5-829E-3855C3EBD6D5}"/>
    <cellStyle name="CBFNumber" xfId="1323" xr:uid="{E4AE0051-1FD5-4E67-9415-916CD77FD5C6}"/>
    <cellStyle name="CBFSectionTitle" xfId="1324" xr:uid="{3B67EA66-0E32-474E-9D22-3738B480A887}"/>
    <cellStyle name="CBFSectionTotal" xfId="1325" xr:uid="{ED13821B-7A11-4B6D-BB7F-4575A2BA687A}"/>
    <cellStyle name="CBFText" xfId="1326" xr:uid="{39F2ADF7-D82E-4B07-A956-92265A46098D}"/>
    <cellStyle name="Centered Heading" xfId="1327" xr:uid="{E9792CAF-4096-4229-86D3-6D0EDDCA0612}"/>
    <cellStyle name="Centered Heading 2" xfId="1328" xr:uid="{17737B08-D916-470A-B1B9-49524F05ED79}"/>
    <cellStyle name="Centered Heading_Sheet1" xfId="1329" xr:uid="{83FAF6FA-3AA8-41E6-81BB-4533190F8C7E}"/>
    <cellStyle name="Column Numbers" xfId="1330" xr:uid="{591C64DC-B953-436C-A0EF-78386AEDF1C2}"/>
    <cellStyle name="Comma" xfId="2107" builtinId="3"/>
    <cellStyle name="Comma  - Style1" xfId="1331" xr:uid="{274A8046-1F4D-468E-9DBC-340F7FD02536}"/>
    <cellStyle name="Comma  - Style1 2" xfId="1332" xr:uid="{643AA15B-95CF-4C14-8CD7-77BEF73B5762}"/>
    <cellStyle name="Comma  - Style1_Sheet1" xfId="1333" xr:uid="{CD450F67-F8BE-4176-961B-69261D35EB23}"/>
    <cellStyle name="Comma  - Style2" xfId="1334" xr:uid="{CB74B2C9-E366-4C0C-AB58-65C2470F6F85}"/>
    <cellStyle name="Comma  - Style2 2" xfId="1335" xr:uid="{D23CB0CE-B113-4803-8353-0A566C77E15F}"/>
    <cellStyle name="Comma  - Style2_Sheet1" xfId="1336" xr:uid="{FCC8E342-1804-46DC-9DBB-25FDCA47EF24}"/>
    <cellStyle name="Comma  - Style3" xfId="1337" xr:uid="{37A2DDEF-5324-4C9A-A693-FFCB83E3842F}"/>
    <cellStyle name="Comma  - Style3 2" xfId="1338" xr:uid="{4DF0623B-ED21-419D-98F8-9597DBD3BF91}"/>
    <cellStyle name="Comma  - Style3_Sheet1" xfId="1339" xr:uid="{395FB726-AC9F-431A-BCF9-2D72C4A2960B}"/>
    <cellStyle name="Comma  - Style4" xfId="1340" xr:uid="{050C54AF-67E1-45B8-A3ED-A9779824392C}"/>
    <cellStyle name="Comma  - Style4 2" xfId="1341" xr:uid="{73E936C5-6580-48ED-88A9-A50035AD2205}"/>
    <cellStyle name="Comma  - Style4_Sheet1" xfId="1342" xr:uid="{6B2B2592-0B9A-47DA-B16A-371D6E5A542D}"/>
    <cellStyle name="Comma  - Style5" xfId="1343" xr:uid="{52E2878A-05D3-4A6F-A2B2-8F5B3B9959AA}"/>
    <cellStyle name="Comma  - Style5 2" xfId="1344" xr:uid="{D7832D1C-CCA7-4CC3-AD3A-C26B80A92FB6}"/>
    <cellStyle name="Comma  - Style5_Sheet1" xfId="1345" xr:uid="{29036C0D-338E-4285-9C85-A79AA9512469}"/>
    <cellStyle name="Comma  - Style6" xfId="1346" xr:uid="{6A307D4E-CD4F-492D-9426-7B486B9144DC}"/>
    <cellStyle name="Comma  - Style6 2" xfId="1347" xr:uid="{B22A712E-A25C-4165-9EFD-D75C31595170}"/>
    <cellStyle name="Comma  - Style6_Sheet1" xfId="1348" xr:uid="{2968475B-7A34-4670-8F23-49CFDCA19E14}"/>
    <cellStyle name="Comma  - Style7" xfId="1349" xr:uid="{3CBA0A03-216F-4282-B795-F9E3855A36E3}"/>
    <cellStyle name="Comma  - Style7 2" xfId="1350" xr:uid="{1C6345C3-C8B9-427E-A4D0-309F2697E4E3}"/>
    <cellStyle name="Comma  - Style7_Sheet1" xfId="1351" xr:uid="{972A0E9A-AF9B-42CD-8C62-A0B78FD11B29}"/>
    <cellStyle name="Comma  - Style8" xfId="1352" xr:uid="{C29A42D8-C066-498A-9946-A10C61919745}"/>
    <cellStyle name="Comma  - Style8 2" xfId="1353" xr:uid="{2333DE23-98F5-48B3-8841-C42928D2D4E7}"/>
    <cellStyle name="Comma  - Style8_Sheet1" xfId="1354" xr:uid="{A3D5066C-E355-4CED-8571-FB5A5C61E8F3}"/>
    <cellStyle name="Comma [0]" xfId="1" builtinId="6"/>
    <cellStyle name="Comma [0] 2" xfId="8" xr:uid="{1ACD3363-6CE0-4CBF-A8A4-EC895ED8C038}"/>
    <cellStyle name="Comma [0] 2 2" xfId="22" xr:uid="{8ECB74FE-E7AA-4B73-8409-A0240D28405F}"/>
    <cellStyle name="Comma [0] 2 2 2" xfId="26" xr:uid="{8132C506-4D48-448C-989B-2ED23191EBEA}"/>
    <cellStyle name="Comma [0] 2 2 2 2" xfId="1967" xr:uid="{6B41C269-0B28-4520-9B97-A7B79793E0A5}"/>
    <cellStyle name="Comma [0] 2 2 3" xfId="1963" xr:uid="{A95EC724-BF9B-4ED0-8D96-84A26060A5BB}"/>
    <cellStyle name="Comma [0] 2 3" xfId="1959" xr:uid="{880723D4-AD67-4B34-B6B1-282D704BCA59}"/>
    <cellStyle name="Comma [0] 3" xfId="17" xr:uid="{A5A49F20-FC90-4499-9475-780C269D6952}"/>
    <cellStyle name="Comma [0] 4" xfId="4" xr:uid="{6C543B41-03A7-4D4E-9222-77B8ABFABEC5}"/>
    <cellStyle name="Comma [00]" xfId="1355" xr:uid="{AD951A62-2FE7-45BC-BEF4-B29D7DCEEF0F}"/>
    <cellStyle name="Comma 0" xfId="1356" xr:uid="{0E2AFFF3-4218-4C54-840F-DF357A3A05C2}"/>
    <cellStyle name="Comma 10" xfId="1950" xr:uid="{9D899647-60D7-448B-A761-2DD217FAAC44}"/>
    <cellStyle name="Comma 11" xfId="27" xr:uid="{086872BD-BF50-4AB5-AE7F-840B1BFE7A22}"/>
    <cellStyle name="Comma 12" xfId="2037" xr:uid="{AB50E80E-0AC2-4BD1-BF39-6A76213921C2}"/>
    <cellStyle name="Comma 13" xfId="2101" xr:uid="{DB234CF8-D73F-4AC8-88D7-68F70569CBA4}"/>
    <cellStyle name="Comma 14" xfId="2044" xr:uid="{3E04FFAF-C438-4D6E-AFA4-B40A1BB8118D}"/>
    <cellStyle name="Comma 15" xfId="2097" xr:uid="{F5CD81F4-E0AF-446C-964D-B3E526251B26}"/>
    <cellStyle name="Comma 16" xfId="2047" xr:uid="{3E87158A-08E6-4338-9CC3-1B193132E38A}"/>
    <cellStyle name="Comma 17" xfId="2094" xr:uid="{A8F15031-1574-4744-84EA-65C5ABE1E0E9}"/>
    <cellStyle name="Comma 18" xfId="2050" xr:uid="{5CD3FAC0-161F-45D2-993A-FDCDF8A3E1F9}"/>
    <cellStyle name="Comma 19" xfId="2104" xr:uid="{91F15A50-0411-47C4-B3DD-7E4768111767}"/>
    <cellStyle name="Comma 2" xfId="6" xr:uid="{B4BDB56A-C4CA-4D1F-B0E6-BCEDADB7E30A}"/>
    <cellStyle name="Comma 2 2" xfId="21" xr:uid="{04B9BA78-BE48-470B-96AA-A31742F5645D}"/>
    <cellStyle name="Comma 2 2 2" xfId="25" xr:uid="{B199F214-E9BF-4C3B-9020-D48ABD2B2C2D}"/>
    <cellStyle name="Comma 2 2 2 2" xfId="1358" xr:uid="{C00E8290-B41B-48FE-B45B-82369CDEA515}"/>
    <cellStyle name="Comma 2 2 2 3" xfId="1966" xr:uid="{FDDBE2B5-112B-4DBC-8F55-682B425E2914}"/>
    <cellStyle name="Comma 2 2 3" xfId="1357" xr:uid="{8655B887-8EA3-4859-82AF-E638C75549C0}"/>
    <cellStyle name="Comma 2 2 4" xfId="1962" xr:uid="{3F6EC27F-25FA-4FA2-A2E9-D2F35356674E}"/>
    <cellStyle name="Comma 2 3" xfId="1359" xr:uid="{6F1312B1-B401-4AC3-9C2A-58DD4C3C3146}"/>
    <cellStyle name="Comma 2 4" xfId="1360" xr:uid="{59DDF0DF-E6DA-4D44-9A19-CB689FA8D50E}"/>
    <cellStyle name="Comma 2 5" xfId="1361" xr:uid="{DD1B89FB-80A3-4314-8335-7812CA4D6F7D}"/>
    <cellStyle name="Comma 2 6" xfId="1362" xr:uid="{BB186BC5-898D-4841-9FC7-3F94BB22B7F5}"/>
    <cellStyle name="Comma 2 7" xfId="34" xr:uid="{10F6F55D-9E69-4C00-8D95-59D261827500}"/>
    <cellStyle name="Comma 2 7 2" xfId="1969" xr:uid="{9EA18114-3D97-445C-A67A-C190C69D7406}"/>
    <cellStyle name="Comma 2 8" xfId="1951" xr:uid="{2D21FB90-8F6E-459F-9C4A-4A926313B94A}"/>
    <cellStyle name="Comma 2 8 2" xfId="1975" xr:uid="{03363701-385F-46DC-A8C3-EA5DDD291527}"/>
    <cellStyle name="Comma 2 9" xfId="1957" xr:uid="{32F2CDE9-ED3D-400E-9480-B22AE6236C60}"/>
    <cellStyle name="Comma 2_08 CB2E A - U WPs (Audit Pack)" xfId="1363" xr:uid="{140CE4F7-5824-469A-A98B-AEFE96168C4D}"/>
    <cellStyle name="Comma 20" xfId="2052" xr:uid="{CA450473-B911-4510-993D-E712BF8FBE91}"/>
    <cellStyle name="Comma 3" xfId="12" xr:uid="{A9438A3B-5672-40C0-87E0-5593054F0E3F}"/>
    <cellStyle name="Comma 3 2" xfId="1365" xr:uid="{A03FF303-C491-4A98-B838-0EC5932AFD33}"/>
    <cellStyle name="Comma 3 3" xfId="1364" xr:uid="{6F641F76-C72A-4320-886F-E8F5C3EF9695}"/>
    <cellStyle name="Comma 3 3 2" xfId="1970" xr:uid="{4D754DC6-9EE0-4B6D-A38F-F90E941EDBC4}"/>
    <cellStyle name="Comma 3 4" xfId="1952" xr:uid="{A23DFE37-C2E5-47FD-9378-AC3174B2B1E2}"/>
    <cellStyle name="Comma 3 4 2" xfId="1976" xr:uid="{14D41594-50E1-443A-9C91-87A53A004F5D}"/>
    <cellStyle name="Comma 4" xfId="1366" xr:uid="{90BBE51B-3C6B-4682-8A1C-E7F4E5782168}"/>
    <cellStyle name="Comma 4 2" xfId="1367" xr:uid="{0733F2FA-EAE8-4E4C-BF66-0BD2FCDE664C}"/>
    <cellStyle name="Comma 4 3" xfId="1953" xr:uid="{CF1BB86C-471F-44A3-902E-628007630ADB}"/>
    <cellStyle name="Comma 4 3 2" xfId="1977" xr:uid="{CF9D32B9-EBC9-43B4-BDB8-213D516B3EEC}"/>
    <cellStyle name="Comma 4 4" xfId="1971" xr:uid="{7A43C4DB-8D2C-475E-98BE-F7994174E14E}"/>
    <cellStyle name="Comma 5" xfId="1368" xr:uid="{BF402F12-ECFB-4AB2-A6BB-977F06FB8387}"/>
    <cellStyle name="Comma 5 2" xfId="1369" xr:uid="{C80691FE-97A4-4E7A-A8CD-99C9B4D305AA}"/>
    <cellStyle name="Comma 6" xfId="1370" xr:uid="{EA131CEA-9B36-4658-8AC5-F47B54AF8F01}"/>
    <cellStyle name="Comma 7" xfId="1371" xr:uid="{FB8F4C97-2A70-417E-8D0E-681302645B65}"/>
    <cellStyle name="Comma 8" xfId="1372" xr:uid="{DB0950F8-2EF6-4654-A863-37BB5E6AEBE3}"/>
    <cellStyle name="Comma 8 2" xfId="1954" xr:uid="{DE05CFF1-C43B-4649-BE11-9B763630D91E}"/>
    <cellStyle name="Comma 8 2 2" xfId="1978" xr:uid="{0C489BC6-D38A-4F77-8F01-973CD010709C}"/>
    <cellStyle name="Comma 8 3" xfId="1972" xr:uid="{69F9D3E6-4948-4D92-A208-67E1E9C0F56B}"/>
    <cellStyle name="Comma 9" xfId="31" xr:uid="{976AA9B7-B2AA-413E-A4AC-07D3BF98CF96}"/>
    <cellStyle name="Comma0" xfId="1373" xr:uid="{E17E45B9-C2FA-4438-8B21-071AACBB0499}"/>
    <cellStyle name="Comma0 - Modelo1" xfId="1374" xr:uid="{561976B4-1248-4E57-8FEF-0EF3127FEC04}"/>
    <cellStyle name="Comma0 - Style1" xfId="1375" xr:uid="{7ADE3268-42FF-401A-90FC-3772CECA46A0}"/>
    <cellStyle name="Comma0 2" xfId="1376" xr:uid="{3FF0E297-15C2-49E7-81A5-774BB386237E}"/>
    <cellStyle name="Comma1 - Modelo2" xfId="1377" xr:uid="{7F53472C-2453-4EB8-BD88-43FA6CCBC714}"/>
    <cellStyle name="Comma1 - Style2" xfId="1378" xr:uid="{9C02DD4E-27A1-4C45-8E05-62BA0B849E47}"/>
    <cellStyle name="Company Name" xfId="1379" xr:uid="{6E909B3B-B7C4-4D66-9DE4-663ECD8C544B}"/>
    <cellStyle name="Company Name 2" xfId="1380" xr:uid="{4194DEC5-5D5A-4284-A3EF-5EDDCE9669E8}"/>
    <cellStyle name="Company Name_Sheet1" xfId="1381" xr:uid="{45EBA708-6043-4A82-A63A-A704F655A020}"/>
    <cellStyle name="CompanyName" xfId="1382" xr:uid="{904C6F81-2EEF-4A0C-B4EB-8263702010FF}"/>
    <cellStyle name="CompanyName 2" xfId="1383" xr:uid="{202A8E10-6B81-4A71-8943-57A0F4E390C7}"/>
    <cellStyle name="CompanyName_Sheet1" xfId="1384" xr:uid="{77A5E52D-8761-4A4E-A93E-1454D9371338}"/>
    <cellStyle name="Currenc_x001c_" xfId="1385" xr:uid="{FB9F8907-42E6-4D4E-A791-72C70A490985}"/>
    <cellStyle name="Currenc_x001c_ 2" xfId="1386" xr:uid="{6A6F176E-20C2-4B61-8C9E-175DB131D351}"/>
    <cellStyle name="Currency [00]" xfId="1387" xr:uid="{4F574005-374B-44E6-B981-9357598E0AAD}"/>
    <cellStyle name="Currency 0" xfId="1388" xr:uid="{D4798163-BB10-433E-B5F6-CB59ADAA1A4B}"/>
    <cellStyle name="Currency 2" xfId="1389" xr:uid="{EEBF8515-318C-443B-AF5C-31665308555C}"/>
    <cellStyle name="Currency 2 4" xfId="29" xr:uid="{B1D6015E-667C-4167-B4CD-C6A21CE6466C}"/>
    <cellStyle name="Currency0" xfId="1390" xr:uid="{CB90CF14-6151-465B-A7F5-B85B81A7D705}"/>
    <cellStyle name="Currency0 2" xfId="1391" xr:uid="{81171B75-0595-43F7-B3DD-ABA0CD7A826F}"/>
    <cellStyle name="CURRENCY1" xfId="1392" xr:uid="{588C765A-0DAB-4AE3-9198-F9BF642EB443}"/>
    <cellStyle name="CurrType" xfId="1393" xr:uid="{7C2814F3-887D-455C-80D0-D453DDB7B20C}"/>
    <cellStyle name="CurrType 2" xfId="1394" xr:uid="{B58617F5-70DC-41F2-B35A-46A1177B2044}"/>
    <cellStyle name="CurrType_Sheet1" xfId="1395" xr:uid="{DD7E4385-F53F-42AD-BCCE-EF47F0F884B5}"/>
    <cellStyle name="Custom - Style1" xfId="1396" xr:uid="{AB2ED609-8D8C-49DA-8021-298433D3DA3C}"/>
    <cellStyle name="Cux8_x000c_" xfId="1397" xr:uid="{1EC3FC9F-7C5E-41FA-B6C9-A8D8E0933C2D}"/>
    <cellStyle name="Dash" xfId="1398" xr:uid="{381A7897-B62C-4602-ABE7-5990D160096C}"/>
    <cellStyle name="Dash 2" xfId="1399" xr:uid="{865B9B02-BB92-4483-AB4F-D22907858FCE}"/>
    <cellStyle name="Data   - Style2" xfId="1400" xr:uid="{2170FA1B-BAB1-4528-A010-CF167E416A55}"/>
    <cellStyle name="Date" xfId="1401" xr:uid="{74E375C1-E136-44E8-8A1B-AE54121E0983}"/>
    <cellStyle name="Date 2" xfId="1402" xr:uid="{ED7DAB6A-6CDE-4295-82A6-EB8DA39F9FDB}"/>
    <cellStyle name="Date Aligned" xfId="1403" xr:uid="{D14F6CFE-0582-45D7-80A1-7E08A4A9A911}"/>
    <cellStyle name="Date Short" xfId="1404" xr:uid="{2D80A3E6-70BA-4C73-A171-88572DA2F044}"/>
    <cellStyle name="Date_ Cash USD " xfId="1405" xr:uid="{A254AE27-9839-40C5-AB9B-F68DB2EF5A2A}"/>
    <cellStyle name="DateFormat" xfId="1406" xr:uid="{C0BF0286-04C1-4747-B2D2-4A3B9B4F1A17}"/>
    <cellStyle name="DateFormat 2" xfId="1407" xr:uid="{A786F62A-181D-4945-A88E-3D33333BDC7E}"/>
    <cellStyle name="DateFormat_Sheet1" xfId="1408" xr:uid="{3DFAF094-8455-4FD3-BEEF-13051F4B14EC}"/>
    <cellStyle name="DeF8_x000c_" xfId="1409" xr:uid="{BE19812A-9C7A-4177-B2E6-4365902C5BF6}"/>
    <cellStyle name="Delta" xfId="1410" xr:uid="{020E63E6-06E0-4AF7-82DC-1B11794192CC}"/>
    <cellStyle name="Dezimal [0]_Compiling Utility Macros" xfId="1411" xr:uid="{12228BF8-1D5A-48AD-AA70-ED29929E6842}"/>
    <cellStyle name="Dezimal_Compiling Utility Macros" xfId="1412" xr:uid="{15A3274A-7F1D-453F-94A6-48E03D266429}"/>
    <cellStyle name="Dia" xfId="1413" xr:uid="{00A099E2-97B6-4B54-8D22-4A06A54E510A}"/>
    <cellStyle name="Dia 2" xfId="1414" xr:uid="{8884898A-18C3-460E-B41E-3490B0F2A801}"/>
    <cellStyle name="Dia_NAVs-SM" xfId="1415" xr:uid="{2751ADFB-2686-4158-BB03-A0F70BE49768}"/>
    <cellStyle name="Dollar" xfId="1416" xr:uid="{7BF04A0E-B68C-46A3-98FA-A464DE56D49C}"/>
    <cellStyle name="Dollar 2" xfId="1417" xr:uid="{38001C52-237D-4E52-94D7-7473E84C06E0}"/>
    <cellStyle name="Dollar_Sheet1" xfId="1418" xr:uid="{DAD8B4B5-6770-49CB-9076-0A229BC5E665}"/>
    <cellStyle name="Dotted Line" xfId="1419" xr:uid="{74DA98C9-116E-489D-8623-464DA73A2EF2}"/>
    <cellStyle name="Eingabefeld" xfId="1420" xr:uid="{1C4B3FB8-88D8-46BF-AA7B-751A48B0FCA6}"/>
    <cellStyle name="Encabez1" xfId="1421" xr:uid="{A7D63797-6ADD-4129-BB4A-291E1DF6BED0}"/>
    <cellStyle name="Encabez1 2" xfId="1422" xr:uid="{874B7041-6749-495C-9E24-C48328E1FF3E}"/>
    <cellStyle name="Encabez1_NAVs-SM" xfId="1423" xr:uid="{5528CC21-C39E-4F9F-9AC2-186102CAED5B}"/>
    <cellStyle name="Encabez2" xfId="1424" xr:uid="{4F7660B7-88C4-43BF-8124-535FEBDBB410}"/>
    <cellStyle name="Encabez2 2" xfId="1425" xr:uid="{8503215F-F239-4EBE-89C5-3BCC56F8AD52}"/>
    <cellStyle name="Encabez2_NAVs-SM" xfId="1426" xr:uid="{1B1BF5A1-DC40-4BA8-A668-0B2B0A9D58A6}"/>
    <cellStyle name="Enter Currency (0)" xfId="1427" xr:uid="{6E7EA91A-07DC-407D-8394-9ED787D25B26}"/>
    <cellStyle name="Enter Currency (2)" xfId="1428" xr:uid="{3F62D032-A612-4359-A2CF-7599F4324D03}"/>
    <cellStyle name="Enter Units (0)" xfId="1429" xr:uid="{1F62BCDE-1107-4D12-86ED-F90285F5E3ED}"/>
    <cellStyle name="Enter Units (1)" xfId="1430" xr:uid="{D7E883AD-AE67-415A-BB60-09DB708BECAF}"/>
    <cellStyle name="Enter Units (2)" xfId="1431" xr:uid="{4917C6BE-F126-4159-8CEC-055BE039BDDE}"/>
    <cellStyle name="Entries" xfId="1432" xr:uid="{52830DD9-7E34-48C9-AC53-D34620DC0D95}"/>
    <cellStyle name="Ergebnisfeld" xfId="1433" xr:uid="{B5311AC6-9C79-4D56-BEEB-190D2A0FF964}"/>
    <cellStyle name="Euro" xfId="1434" xr:uid="{B7285214-A955-4B5F-AC5F-A3FBEDE40A30}"/>
    <cellStyle name="Euro 2" xfId="1435" xr:uid="{ECB9F796-47B9-47FE-8413-0E8FDC7EB410}"/>
    <cellStyle name="F2" xfId="1436" xr:uid="{4EEA68F2-E193-4845-9FA2-43032EAAC3A6}"/>
    <cellStyle name="F2 2" xfId="1437" xr:uid="{D6C0D015-90A2-4142-9801-0BD3E41DD637}"/>
    <cellStyle name="F2_NAVs-SM" xfId="1438" xr:uid="{126500A2-A120-44F7-9FA2-CA11E9E7F4BF}"/>
    <cellStyle name="F3" xfId="1439" xr:uid="{D45A1D51-3DC6-4157-8C47-5E08C7C1AA04}"/>
    <cellStyle name="F3 2" xfId="1440" xr:uid="{771B36A8-15D7-42C8-848B-5C6845F37E08}"/>
    <cellStyle name="F3_NAVs-SM" xfId="1441" xr:uid="{50B9C407-8717-4D9D-A57D-D9715817B33B}"/>
    <cellStyle name="F4" xfId="1442" xr:uid="{EFABFF93-ECA7-477E-923F-3ABCBADEF170}"/>
    <cellStyle name="F4 2" xfId="1443" xr:uid="{23A01AFB-7CEB-42AA-835A-5E2DFFC65EA3}"/>
    <cellStyle name="F4_NAVs-SM" xfId="1444" xr:uid="{93E782C5-5C68-4C98-9C29-EC236B19AD61}"/>
    <cellStyle name="F5" xfId="1445" xr:uid="{5D3319B9-DEC7-43C7-A278-CC05D66A94FE}"/>
    <cellStyle name="F5 2" xfId="1446" xr:uid="{469F6EB0-9EB9-48D8-BCD8-1FE64DE05FAE}"/>
    <cellStyle name="F5_NAVs-SM" xfId="1447" xr:uid="{6BA17D68-ACEE-4945-A8C8-9D4B477AE8A7}"/>
    <cellStyle name="F6" xfId="1448" xr:uid="{3BA4C340-041D-4803-9033-136E3E2641DA}"/>
    <cellStyle name="F6 2" xfId="1449" xr:uid="{68FE1DA6-01C6-43EE-8BEB-DB291829147A}"/>
    <cellStyle name="F6_NAVs-SM" xfId="1450" xr:uid="{2C52A5F9-DAE3-46F0-961D-DCE62B12A7C0}"/>
    <cellStyle name="F7" xfId="1451" xr:uid="{3C79CE34-7074-40E3-9E74-2464AA4468DB}"/>
    <cellStyle name="F7 2" xfId="1452" xr:uid="{01B272EE-D121-4143-B5FE-2D42F8D03C49}"/>
    <cellStyle name="F7_NAVs-SM" xfId="1453" xr:uid="{2521259D-A611-4D69-9F56-686A6C33E656}"/>
    <cellStyle name="F8" xfId="1454" xr:uid="{00C4C24D-DFC5-4426-B680-608758259933}"/>
    <cellStyle name="F8 2" xfId="1455" xr:uid="{F0D1667B-742B-4044-B29B-D511CF2782EE}"/>
    <cellStyle name="F8_NAVs-SM" xfId="1456" xr:uid="{E2BD14A8-4B6D-4CF5-8E85-045544B18BCE}"/>
    <cellStyle name="Fijo" xfId="1457" xr:uid="{8A84C521-BF08-44FC-A164-A7B07FCF50A5}"/>
    <cellStyle name="Fijo 2" xfId="1458" xr:uid="{B51EA50B-022A-4AC2-B2FB-4CE440DBBDFC}"/>
    <cellStyle name="Fijo_NAVs-SM" xfId="1459" xr:uid="{768DDA45-6D22-4A6C-A3F8-CF4C1816F827}"/>
    <cellStyle name="Financiero" xfId="1460" xr:uid="{27B91FE2-3694-4E25-80AC-2ADABAE32E42}"/>
    <cellStyle name="Financiero 2" xfId="1461" xr:uid="{5471D1C9-383B-4DBC-99EF-18DF08469E12}"/>
    <cellStyle name="Financiero_NAVs-SM" xfId="1462" xr:uid="{DB40037C-92EC-425C-BFEA-9F418F776CFC}"/>
    <cellStyle name="FirstNumbers_Avg_BS " xfId="1463" xr:uid="{EE9FA387-E49E-4722-9924-2F112FBA04D2}"/>
    <cellStyle name="Fixed" xfId="1464" xr:uid="{CEBAF57D-349F-472F-BA49-B44C0CAC9CA4}"/>
    <cellStyle name="Fixed 2" xfId="1465" xr:uid="{304A8F9B-EF75-4243-92A8-B0DF020C8A42}"/>
    <cellStyle name="Fixed_Sheet1" xfId="1466" xr:uid="{71183F79-8BC6-408B-A8CF-30C7A63F3312}"/>
    <cellStyle name="Footnote" xfId="1467" xr:uid="{B649B4E8-71D3-49A3-9D49-2640912585B8}"/>
    <cellStyle name="Foreground" xfId="1468" xr:uid="{4A03829E-310F-47E8-ACD0-066D227CAF83}"/>
    <cellStyle name="Foreground 2" xfId="1469" xr:uid="{352BBA0A-F37F-44E8-997C-0E32121B11DC}"/>
    <cellStyle name="Format Number Column" xfId="1470" xr:uid="{0838DEC6-643D-47DF-885E-6751C090FD42}"/>
    <cellStyle name="Format Number Column 2" xfId="1471" xr:uid="{B0B99A7F-5358-49AD-86E1-E85E0BCF0423}"/>
    <cellStyle name="Format Number Column_Sheet1" xfId="1472" xr:uid="{43CA88B8-1147-4571-A895-0417E79B5737}"/>
    <cellStyle name="format1" xfId="1473" xr:uid="{78D5E134-6524-4E15-A014-8F27FCADA89F}"/>
    <cellStyle name="Future" xfId="1474" xr:uid="{F4CE8B55-655C-4B46-AFAF-B19FDA7C4DFD}"/>
    <cellStyle name="FX Rate" xfId="1475" xr:uid="{4898759D-0559-4A72-89E6-9A62D05FA27C}"/>
    <cellStyle name="FX Rate 2" xfId="1476" xr:uid="{E9C1FFC9-9DA3-4571-B092-BF43F7882C6E}"/>
    <cellStyle name="Gamma" xfId="1477" xr:uid="{DBB3612D-1794-4596-BA67-51F97062951D}"/>
    <cellStyle name="General" xfId="1478" xr:uid="{60ED5242-BC85-4994-BBE6-35618121FA19}"/>
    <cellStyle name="Grey" xfId="1479" xr:uid="{78D1D11E-D4E7-4CC5-8234-1E60E5B26254}"/>
    <cellStyle name="GreybarHeader" xfId="1480" xr:uid="{EF251357-F9A1-4F40-A082-46FFED542969}"/>
    <cellStyle name="Hard Percent" xfId="1481" xr:uid="{BDB9E658-C4E5-4ADD-AC2B-1EC5C0308810}"/>
    <cellStyle name="Header" xfId="1482" xr:uid="{AC56F97E-A889-478E-B237-F920310FE280}"/>
    <cellStyle name="Header1" xfId="1483" xr:uid="{65BB911C-7C23-4015-93D1-990CDBF89D6C}"/>
    <cellStyle name="Header2" xfId="1484" xr:uid="{F9184122-BB21-40B8-B716-6816B7E179EC}"/>
    <cellStyle name="HeaderStyle" xfId="1485" xr:uid="{F9B58E6E-530B-4353-BE30-374703341390}"/>
    <cellStyle name="Heading" xfId="1486" xr:uid="{E5977151-378A-4348-847D-4F86200C68A0}"/>
    <cellStyle name="Heading No Underline" xfId="1487" xr:uid="{E12A5D1E-22F2-4CF9-9555-9DB6C1761AC1}"/>
    <cellStyle name="Heading No Underline 2" xfId="1488" xr:uid="{6AE3C1A6-D1C7-490E-AA40-D57BCB4D3239}"/>
    <cellStyle name="Heading No Underline_Sheet1" xfId="1489" xr:uid="{88C8B109-CE00-4CFC-8CE7-BFF2DEFD6A38}"/>
    <cellStyle name="Heading With Underline" xfId="1490" xr:uid="{4F4D23CE-B7F3-4559-925D-D3617B963E5F}"/>
    <cellStyle name="Heading With Underline 2" xfId="1491" xr:uid="{566A2B3A-A58F-432F-B4E6-7DFC240BEEB9}"/>
    <cellStyle name="Heading With Underline_NAVs-SM" xfId="1492" xr:uid="{ABC61FA0-17E5-4A6E-963A-64BC96BDEEF3}"/>
    <cellStyle name="HeadingColumn" xfId="1493" xr:uid="{F69D2D7A-86F7-459F-9466-32AF51848AFF}"/>
    <cellStyle name="HeadingYear" xfId="1494" xr:uid="{EB57DD55-6165-4D2B-AA66-2130AB7157C5}"/>
    <cellStyle name="Input [yellow]" xfId="1495" xr:uid="{1ED08D5A-8D9F-46BC-BA82-AC12A7B911C5}"/>
    <cellStyle name="Input%" xfId="1496" xr:uid="{7A716C01-CC00-4477-9445-B437A567AC58}"/>
    <cellStyle name="InputDate" xfId="1497" xr:uid="{E6E4A750-AF5C-422C-B0FE-DBE3F47A252B}"/>
    <cellStyle name="InputDecimal" xfId="1498" xr:uid="{DEBF6571-6E86-46E3-BA19-51672702D101}"/>
    <cellStyle name="InputValue" xfId="1499" xr:uid="{072653F3-6AEB-4B32-8877-9375C7F7921F}"/>
    <cellStyle name="Integer" xfId="1500" xr:uid="{55ACC5E3-F53D-4C37-B762-4613274DB735}"/>
    <cellStyle name="Integer 2" xfId="1501" xr:uid="{69A59923-441F-427D-841F-C39E2BAA2CF9}"/>
    <cellStyle name="Integer_Sheet1" xfId="1502" xr:uid="{0A537854-3DEA-4C26-956A-25613F064F4E}"/>
    <cellStyle name="ItalicHeader" xfId="1503" xr:uid="{D2AF4FA4-8F9C-4E7B-8615-E7585C5F92D2}"/>
    <cellStyle name="Komma [0]_Fees &amp; Expenses" xfId="1504" xr:uid="{3482082B-4364-464F-B30B-A5F777F7B8D6}"/>
    <cellStyle name="Komma_Fees &amp; Expenses" xfId="1505" xr:uid="{5D93BC3B-0402-4BC1-9E53-87D185A77849}"/>
    <cellStyle name="Labels - Style3" xfId="1506" xr:uid="{C4BB78B5-B05B-4E56-A9FA-78E3630ADD1F}"/>
    <cellStyle name="Labels 8p Bold" xfId="1507" xr:uid="{DC084CB3-ABBC-4771-A365-3227EFED9E26}"/>
    <cellStyle name="Labels 8p Bold 2" xfId="1508" xr:uid="{16D24A61-8A13-4686-9CC7-403400E8A03A}"/>
    <cellStyle name="Labels 8p Bold_Sheet1" xfId="1509" xr:uid="{2549E58E-74C3-4E0C-BD48-39B01E77270F}"/>
    <cellStyle name="Libre" xfId="1510" xr:uid="{439D6E6B-1372-4894-9B3C-338E99473322}"/>
    <cellStyle name="LineNumbers_Avg_BS " xfId="1511" xr:uid="{574F4CBF-9231-4828-BF3B-DEB3F9011E63}"/>
    <cellStyle name="Link Currency (0)" xfId="1512" xr:uid="{68E6F5BB-BBCE-432C-8576-6B23FBC5D02E}"/>
    <cellStyle name="Link Currency (2)" xfId="1513" xr:uid="{D4C0058C-2424-41FB-804E-9C34D69099DB}"/>
    <cellStyle name="Link Units (0)" xfId="1514" xr:uid="{9E6BEEA3-707D-452E-B807-F2CFB5D2300F}"/>
    <cellStyle name="Link Units (1)" xfId="1515" xr:uid="{E874B0C1-42FD-4036-A639-758C02865FF0}"/>
    <cellStyle name="Link Units (2)" xfId="1516" xr:uid="{255E7904-6FB8-4AFB-8F15-C5BAC3F7D870}"/>
    <cellStyle name="Map Labels" xfId="1517" xr:uid="{155F424F-D35F-4F9C-BF98-2527E45C7CCB}"/>
    <cellStyle name="Map Legend" xfId="1518" xr:uid="{89F8798F-15FC-4F32-9BFF-3AD7632E8EC0}"/>
    <cellStyle name="Map Title" xfId="1519" xr:uid="{69EC32FC-33EE-45AF-B01C-0AE98FCF1471}"/>
    <cellStyle name="Maturity" xfId="1520" xr:uid="{8BF63512-DBDD-4CB9-A5C2-3087DEDA7B3B}"/>
    <cellStyle name="Migliaia (0)_RiepilogoNQ" xfId="1521" xr:uid="{88195510-CB5C-4296-98D9-0F558E30F1B3}"/>
    <cellStyle name="Millares [0]_10 AVERIAS MASIVAS + ANT" xfId="1522" xr:uid="{B20FF44E-9C91-4D56-AA3A-A88814407D9E}"/>
    <cellStyle name="Millares_10 AVERIAS MASIVAS + ANT" xfId="1523" xr:uid="{741C4948-CA33-4E35-B183-16EADC1F0D14}"/>
    <cellStyle name="Milliers [0]_Modèles2" xfId="1524" xr:uid="{F75FC53D-C103-4B6A-9B89-E0E2919B272D}"/>
    <cellStyle name="Milliers_Modèles2" xfId="1525" xr:uid="{75AEF2EF-E0CE-4564-BE78-85DF386700F2}"/>
    <cellStyle name="mm/dd/yy" xfId="1526" xr:uid="{83629A79-8595-46DB-9B21-B4AB1A47C18C}"/>
    <cellStyle name="Moneda [0]_10 AVERIAS MASIVAS + ANT" xfId="1527" xr:uid="{5CF788DE-C978-4BB6-8292-DFE74AE8F34F}"/>
    <cellStyle name="Moneda_10 AVERIAS MASIVAS + ANT" xfId="1528" xr:uid="{860EA00C-C3FD-4C3E-8772-C92AD65365DC}"/>
    <cellStyle name="Monétaire [0]_Modèles2" xfId="1529" xr:uid="{A8AC82BD-CD05-41C1-8658-54F6B5C35D2F}"/>
    <cellStyle name="Monétaire_Modèles2" xfId="1530" xr:uid="{64A54DE2-60AE-41A7-97D5-F2BB81A61965}"/>
    <cellStyle name="Monetario" xfId="1531" xr:uid="{3FA2BE87-2027-4365-A1C7-26B6A522163D}"/>
    <cellStyle name="Monetario 2" xfId="1532" xr:uid="{AA79EB8F-1F98-4857-8088-087B5A725DD6}"/>
    <cellStyle name="Monetario_NAVs-SM" xfId="1533" xr:uid="{0A915D27-84C9-4237-BF56-1F3BD11BDCA2}"/>
    <cellStyle name="Multiple" xfId="1534" xr:uid="{3766086F-5152-4DC8-89A6-B30D809C8259}"/>
    <cellStyle name="No Border" xfId="1535" xr:uid="{BFA4D72B-E139-4F03-8003-4AC79066C7BE}"/>
    <cellStyle name="no dec" xfId="1536" xr:uid="{54927761-86BA-421D-9F8B-7FC4232F8381}"/>
    <cellStyle name="Normal" xfId="0" builtinId="0"/>
    <cellStyle name="Normal - Style1" xfId="1537" xr:uid="{6161DB27-3DF3-4ED9-B9FD-F90D9313EA9F}"/>
    <cellStyle name="Normal - Style2" xfId="1538" xr:uid="{1AEC8388-F04A-4704-939D-1E3659BDB7DF}"/>
    <cellStyle name="Normal - Style3" xfId="1539" xr:uid="{E47BBE60-36F6-4F35-9C64-8E35C92A9DB8}"/>
    <cellStyle name="Normal - Style4" xfId="1540" xr:uid="{0AAE76E9-BE36-44F2-9BBC-C6F51B12FC74}"/>
    <cellStyle name="Normal - Style5" xfId="1541" xr:uid="{FBE1E7AC-FE08-4503-9BB9-2EF6B16A3E6D}"/>
    <cellStyle name="Normal - Style5 2" xfId="1542" xr:uid="{FCFE0C2B-2692-4C7E-BFB8-B3B4BF374DE5}"/>
    <cellStyle name="Normal - Style5_Sheet1" xfId="1543" xr:uid="{8AD83698-985D-4AD6-84F2-0AFF6F1BF467}"/>
    <cellStyle name="Normal - Style6" xfId="1544" xr:uid="{9D20867C-8276-434E-BFCA-A3DA736063A9}"/>
    <cellStyle name="Normal - Style6 2" xfId="1545" xr:uid="{104AA8F3-B642-4A0F-AEAA-62EB5954C916}"/>
    <cellStyle name="Normal - Style6_Sheet1" xfId="1546" xr:uid="{09DEDA61-6008-4905-9983-7BC19ECCCBD1}"/>
    <cellStyle name="Normal - Style7" xfId="1547" xr:uid="{AAF49476-89B4-46F3-8157-139442C056D7}"/>
    <cellStyle name="Normal - Style7 2" xfId="1548" xr:uid="{46B2204B-D3B6-466B-B4D6-34BEDA5279A3}"/>
    <cellStyle name="Normal - Style7_Sheet1" xfId="1549" xr:uid="{645CA056-141B-4A24-BEDE-761BE831CCC2}"/>
    <cellStyle name="Normal - Style8" xfId="1550" xr:uid="{8FABDC66-DBF7-4434-A543-DDDFFBBE90DA}"/>
    <cellStyle name="Normal - Style8 2" xfId="1551" xr:uid="{B2929C77-31AA-4428-BDBD-49D2EA2162D6}"/>
    <cellStyle name="Normal - Style8_Sheet1" xfId="1552" xr:uid="{E4163E9C-3C4B-4BC5-9551-BE642FC1A436}"/>
    <cellStyle name="Normal 10" xfId="1553" xr:uid="{5D58035A-078A-4A48-A34B-61C39FCD485D}"/>
    <cellStyle name="Normal 10 2" xfId="1554" xr:uid="{59C13972-0BA5-488D-B8AC-34228CCC6EB3}"/>
    <cellStyle name="Normal 10 3" xfId="1555" xr:uid="{0B11099A-54C2-40C0-AE58-E5E9692F6322}"/>
    <cellStyle name="Normal 10 4" xfId="1556" xr:uid="{669834F8-462B-4BB8-8B01-4D5C10956332}"/>
    <cellStyle name="Normal 10 5" xfId="1557" xr:uid="{6031E5E0-DC72-4F59-92A6-F9DF87FC0FFA}"/>
    <cellStyle name="Normal 11" xfId="1558" xr:uid="{94D12DBA-872B-4107-A3E2-88904474CF46}"/>
    <cellStyle name="Normal 12" xfId="1559" xr:uid="{8D40069B-5340-40AF-BA8C-D4D24E6CBADB}"/>
    <cellStyle name="Normal 12 2" xfId="1560" xr:uid="{FC96FCF4-886F-48A9-AA49-6AB6296D8266}"/>
    <cellStyle name="Normal 12 3" xfId="1561" xr:uid="{3D05896C-CFBA-47A3-941D-6824133EDEB6}"/>
    <cellStyle name="Normal 12 4" xfId="1562" xr:uid="{BED9AD6B-00FE-4004-9EC8-9790075FCB41}"/>
    <cellStyle name="Normal 12 5" xfId="1563" xr:uid="{ADBA56B2-6AD9-4AAD-8FFA-FB3CF51B4C4D}"/>
    <cellStyle name="Normal 13" xfId="1564" xr:uid="{3B504DF5-0828-4667-9283-96382770C9EB}"/>
    <cellStyle name="Normal 14" xfId="1565" xr:uid="{17157132-8A24-4C53-9C6F-4483F2DD10D7}"/>
    <cellStyle name="Normal 15" xfId="1566" xr:uid="{6D8B4412-F7AB-4684-BA25-BBECB81F5766}"/>
    <cellStyle name="Normal 16" xfId="1567" xr:uid="{62EF226A-2606-47F0-8FBF-F5D9F1B1E300}"/>
    <cellStyle name="Normal 17" xfId="1568" xr:uid="{49840274-EED1-469B-B374-739DBFB2A6B3}"/>
    <cellStyle name="Normal 177" xfId="9" xr:uid="{9C0DDFDF-450A-4993-A2B7-1CECBF53D36A}"/>
    <cellStyle name="Normal 18" xfId="1569" xr:uid="{2CD1AE38-3D7B-4700-AB9B-30EFBC185F6C}"/>
    <cellStyle name="Normal 19" xfId="1570" xr:uid="{0A85F6A1-5BFC-4DF6-BEBD-616F0034AF38}"/>
    <cellStyle name="Normal 2" xfId="5" xr:uid="{CF963430-B674-4DC5-B7DF-29556938B968}"/>
    <cellStyle name="Normal 2 17" xfId="28" xr:uid="{90895E19-251D-4EB5-B981-D14ECD390FC8}"/>
    <cellStyle name="Normal 2 2" xfId="19" xr:uid="{FFB303AC-6222-4F8C-8EFB-19FBB31CE101}"/>
    <cellStyle name="Normal 2 2 2" xfId="23" xr:uid="{88AE995B-A6AF-42DA-BFF6-11555B48B336}"/>
    <cellStyle name="Normal 2 2 2 2" xfId="1571" xr:uid="{C8E76476-9770-4653-B2FA-D3DCEFC888F2}"/>
    <cellStyle name="Normal 2 2 2 3" xfId="1964" xr:uid="{90D9890E-549E-4443-80AA-CFD16E9051F3}"/>
    <cellStyle name="Normal 2 2 3" xfId="33" xr:uid="{C7B2A021-95F1-4972-A6D4-EF74D9E982BC}"/>
    <cellStyle name="Normal 2 2 4" xfId="1960" xr:uid="{6B3C7159-C19E-4117-AA6B-7AC30BB118DD}"/>
    <cellStyle name="Normal 2 3" xfId="32" xr:uid="{FEC58161-7115-4A65-8DA9-7F7C025FA36B}"/>
    <cellStyle name="Normal 2 4" xfId="1956" xr:uid="{FECC68C5-C0A9-4819-B258-02DF440010EB}"/>
    <cellStyle name="Normal 20" xfId="1572" xr:uid="{655BB41E-8D78-4A1C-9C24-9754D24331A2}"/>
    <cellStyle name="Normal 21" xfId="1573" xr:uid="{4F4237C3-A74A-4B35-85F4-9ABB1D9C892A}"/>
    <cellStyle name="Normal 22" xfId="1574" xr:uid="{EB13B5EA-3C91-4DEE-9812-88F1B519268A}"/>
    <cellStyle name="Normal 23" xfId="1575" xr:uid="{37C98967-A6CB-4D4A-A524-1C1D24254B61}"/>
    <cellStyle name="Normal 24" xfId="1576" xr:uid="{E172D933-3BDF-4712-B3B3-AB393FF21784}"/>
    <cellStyle name="Normal 25" xfId="30" xr:uid="{1276BB35-AB1A-455C-B7C0-6044DEA20FE2}"/>
    <cellStyle name="Normal 25 2" xfId="1968" xr:uid="{D4AE0546-A08B-4737-96D5-BE11F4CFE748}"/>
    <cellStyle name="Normal 26" xfId="1949" xr:uid="{521C125F-155C-4116-8232-0F93CA9F4F9C}"/>
    <cellStyle name="Normal 26 2" xfId="1974" xr:uid="{19CBFFEF-6F89-435F-B7C0-7A1DA7A3617D}"/>
    <cellStyle name="Normal 27" xfId="1980" xr:uid="{DE5BAA38-AD49-4014-BC5C-D8B3258A86F9}"/>
    <cellStyle name="Normal 28" xfId="1981" xr:uid="{193E7A36-5151-4B39-AE84-6E6E6FC322CD}"/>
    <cellStyle name="Normal 29" xfId="1982" xr:uid="{C5B3E107-160B-4285-8141-3CC5AB135A24}"/>
    <cellStyle name="Normal 3" xfId="11" xr:uid="{5D261100-6A8B-49EB-84A6-6CABE74FAD3C}"/>
    <cellStyle name="Normal 3 2" xfId="1578" xr:uid="{C610E8EF-F399-419A-9BCA-304113733674}"/>
    <cellStyle name="Normal 3 3" xfId="1579" xr:uid="{F5DBC15E-280B-4F37-A640-9C29A5E85960}"/>
    <cellStyle name="Normal 3 4" xfId="1580" xr:uid="{9C6FB34C-8E79-45E9-8D99-C320B60F2881}"/>
    <cellStyle name="Normal 3 5" xfId="1581" xr:uid="{19F1A4E5-32F7-41DA-AD93-566F5F627426}"/>
    <cellStyle name="Normal 3 6" xfId="1577" xr:uid="{9C17E7FE-7687-40ED-B057-698B7112D86E}"/>
    <cellStyle name="Normal 3 6 2" xfId="1973" xr:uid="{27408455-4BB5-4949-8631-AB77784DC784}"/>
    <cellStyle name="Normal 3 7" xfId="1955" xr:uid="{8EBA4A2E-B534-4A55-BEC0-DA1D393A7080}"/>
    <cellStyle name="Normal 3 7 2" xfId="1979" xr:uid="{4C79A57C-4970-4814-9C24-F6103FF9F846}"/>
    <cellStyle name="Normal 3_CVTS Cash Lead - Unsettled Trades" xfId="1582" xr:uid="{EB6DAC94-FAE5-40A8-ADEB-2E0DE6BB3244}"/>
    <cellStyle name="Normal 30" xfId="1983" xr:uid="{01447434-3487-4BC4-8136-40745EAB6F4F}"/>
    <cellStyle name="Normal 31" xfId="1984" xr:uid="{1234548A-6896-43C0-A0B9-EC3260A99462}"/>
    <cellStyle name="Normal 32" xfId="1985" xr:uid="{856B1FC7-DE60-4498-8B5F-191F552C1938}"/>
    <cellStyle name="Normal 33" xfId="1986" xr:uid="{F2B83B90-E026-440D-B692-DA351137F6BA}"/>
    <cellStyle name="Normal 34" xfId="1987" xr:uid="{53DF2628-E89E-4579-804E-6084EAA19C91}"/>
    <cellStyle name="Normal 35" xfId="1988" xr:uid="{3DFA802C-38FF-4C84-994E-16638BFD6226}"/>
    <cellStyle name="Normal 36" xfId="1989" xr:uid="{8A158A7B-3146-4B47-9DB7-4E15AF69BF42}"/>
    <cellStyle name="Normal 37" xfId="1990" xr:uid="{44E310C9-8A99-451F-8AEC-1EA7897495C2}"/>
    <cellStyle name="Normal 38" xfId="1991" xr:uid="{B76E8B7D-5DBE-46CA-9742-8F4024E8C9B5}"/>
    <cellStyle name="Normal 39" xfId="1992" xr:uid="{53B07E2A-045F-4EDC-9559-DDA412A1CB28}"/>
    <cellStyle name="Normal 4" xfId="1583" xr:uid="{EB549B95-6FE5-4FDC-8D88-F686444B633C}"/>
    <cellStyle name="Normal 4 2" xfId="1584" xr:uid="{91EB3245-C663-4AFD-BF5D-4B1B8E4B6F94}"/>
    <cellStyle name="Normal 4_08 COP Audit Pack" xfId="1585" xr:uid="{40814815-C763-4E82-9CAF-4C58469923C9}"/>
    <cellStyle name="Normal 40" xfId="1993" xr:uid="{E6715443-D193-47AC-AA47-D4FB7EA22937}"/>
    <cellStyle name="Normal 41" xfId="1994" xr:uid="{FDF4F6F2-97AE-41A2-82AB-772B10D0415B}"/>
    <cellStyle name="Normal 42" xfId="1995" xr:uid="{EFC3CC2D-7EF2-4121-83D1-F1DFEA009853}"/>
    <cellStyle name="Normal 43" xfId="1996" xr:uid="{D752008E-8572-462D-B452-B4F4F7EFDC05}"/>
    <cellStyle name="Normal 44" xfId="1997" xr:uid="{16C49EC3-D873-414E-BD35-855648882B74}"/>
    <cellStyle name="Normal 45" xfId="1998" xr:uid="{461EE1F2-B572-4892-BA9C-B8BEAC4EB29B}"/>
    <cellStyle name="Normal 46" xfId="1999" xr:uid="{BF50B7B0-D409-40BC-8649-C050089BAE59}"/>
    <cellStyle name="Normal 47" xfId="2000" xr:uid="{F59651F9-D61F-490B-81A2-272C8246BD59}"/>
    <cellStyle name="Normal 48" xfId="2001" xr:uid="{1A88F39C-0788-4BC2-B918-855E3EE0C324}"/>
    <cellStyle name="Normal 49" xfId="2002" xr:uid="{D106E4BB-5999-44E2-A0B1-26AB81499758}"/>
    <cellStyle name="Normal 5" xfId="1586" xr:uid="{66E36A41-C821-4D31-BC25-2F77AF00DFE1}"/>
    <cellStyle name="Normal 5 2" xfId="1587" xr:uid="{30DEF2DD-BDB9-4D33-9976-D3E65BC9EFF4}"/>
    <cellStyle name="Normal 5 3" xfId="1588" xr:uid="{136FEDA0-DAC8-428A-A000-9E9FE0FFA400}"/>
    <cellStyle name="Normal 5 4" xfId="1589" xr:uid="{872326D3-54F6-4EE7-AE02-6729D5AD5913}"/>
    <cellStyle name="Normal 5 5" xfId="1590" xr:uid="{0862B590-A7C3-4877-8C58-0D687D57418D}"/>
    <cellStyle name="Normal 5_CSOP Q4 Realized report" xfId="1591" xr:uid="{0EFD313F-ACE7-43AC-9671-011AAB4D33A7}"/>
    <cellStyle name="Normal 50" xfId="2003" xr:uid="{5B2F1CCF-D5F0-463F-8C7C-BC77B845B16B}"/>
    <cellStyle name="Normal 51" xfId="2004" xr:uid="{36D414BE-4B94-4F10-BE14-39CF8211CF33}"/>
    <cellStyle name="Normal 52" xfId="2005" xr:uid="{190BE116-800B-4C0C-9879-25998FDC899D}"/>
    <cellStyle name="Normal 53" xfId="2006" xr:uid="{E95B98D7-1E0D-4F7C-95ED-BBE637EB74EF}"/>
    <cellStyle name="Normal 54" xfId="2007" xr:uid="{29539D81-AFB9-4F95-AD4D-60389DEC9C31}"/>
    <cellStyle name="Normal 55" xfId="2008" xr:uid="{422C7560-58E2-40E6-8AB1-8B13AD1E6A0D}"/>
    <cellStyle name="Normal 56" xfId="2009" xr:uid="{9D832A98-BEFE-43A1-9CBB-38D3F60C9DD1}"/>
    <cellStyle name="Normal 57" xfId="2010" xr:uid="{3DC40496-F62A-4129-BD2B-B1782A323FE6}"/>
    <cellStyle name="Normal 58" xfId="2011" xr:uid="{303CD716-4C8A-42FB-8CBB-A728D123D434}"/>
    <cellStyle name="Normal 59" xfId="2012" xr:uid="{649CC7BA-4565-4FAC-A019-4467B57E3E01}"/>
    <cellStyle name="Normal 6" xfId="1592" xr:uid="{5862DD52-C027-43EA-94F9-8D8EE723D60D}"/>
    <cellStyle name="Normal 60" xfId="2013" xr:uid="{92B52FE9-0D10-4F96-BF68-CEC429C201AF}"/>
    <cellStyle name="Normal 61" xfId="2014" xr:uid="{DDFD1614-07F2-4A94-A1B2-88601A9F6037}"/>
    <cellStyle name="Normal 62" xfId="2015" xr:uid="{6FBD69D7-C535-46DC-9D88-8935E3432B07}"/>
    <cellStyle name="Normal 63" xfId="2016" xr:uid="{7B20144E-C703-4B85-885D-3548FC3300A2}"/>
    <cellStyle name="Normal 64" xfId="2017" xr:uid="{339A82B0-CFCF-4B1D-96F3-2A66227C7CF7}"/>
    <cellStyle name="Normal 65" xfId="2018" xr:uid="{2265EEDB-B3AD-4F9B-84FB-C4B84944C351}"/>
    <cellStyle name="Normal 66" xfId="2019" xr:uid="{6D13ECA8-B752-4F71-83FC-01E64B9B14CE}"/>
    <cellStyle name="Normal 67" xfId="2020" xr:uid="{2AD9B180-EBC9-4090-B161-C115B826F9C0}"/>
    <cellStyle name="Normal 68" xfId="2021" xr:uid="{459525DA-02F3-4C0F-BBBA-DF496DBE327A}"/>
    <cellStyle name="Normal 69" xfId="2022" xr:uid="{3C31899A-FF74-48A3-B363-8D8DD0136737}"/>
    <cellStyle name="Normal 7" xfId="1593" xr:uid="{8EB78DD9-9F5D-4C51-B673-20A2DD7D97A9}"/>
    <cellStyle name="Normal 7 2" xfId="1594" xr:uid="{8385A400-E229-48B9-8281-C221831B24A0}"/>
    <cellStyle name="Normal 7 3" xfId="1595" xr:uid="{0B3398FD-44AD-401B-A57D-EF1518D8F5E0}"/>
    <cellStyle name="Normal 7 4" xfId="1596" xr:uid="{9D2F1D9C-F909-4C87-BFAB-250808EFADC0}"/>
    <cellStyle name="Normal 7 5" xfId="1597" xr:uid="{254F6FAE-0114-4A05-AD68-7FBAAFA8938B}"/>
    <cellStyle name="Normal 7_CSOP Q4 Broker Interest Reconciliation" xfId="1598" xr:uid="{B873A837-A4D1-4DEF-BB7B-5182ADB2C0F5}"/>
    <cellStyle name="Normal 70" xfId="2023" xr:uid="{D0171C89-B358-48D8-979B-5109AEEA0D50}"/>
    <cellStyle name="Normal 71" xfId="2024" xr:uid="{34271125-D54F-45BD-989A-F772BB64F443}"/>
    <cellStyle name="Normal 72" xfId="2025" xr:uid="{D5500788-00D7-46DE-8B6E-098795089CBD}"/>
    <cellStyle name="Normal 73" xfId="2026" xr:uid="{01084925-2ED4-416A-B4D8-5693D9DEDD52}"/>
    <cellStyle name="Normal 74" xfId="2027" xr:uid="{96261818-F04B-44C3-B166-C357A9728EF8}"/>
    <cellStyle name="Normal 75" xfId="2028" xr:uid="{8AE077B5-8AC3-4C1D-BBD2-201025492DD3}"/>
    <cellStyle name="Normal 76" xfId="2029" xr:uid="{43543AA0-A58C-4487-96B8-2ADD9933DEC0}"/>
    <cellStyle name="Normal 76 2" xfId="2033" xr:uid="{43295334-C3D9-4AD7-B969-76E428197645}"/>
    <cellStyle name="Normal 77" xfId="2031" xr:uid="{B5F38DB3-F118-4D82-968B-807530A31B87}"/>
    <cellStyle name="Normal 78" xfId="2" xr:uid="{936FFEAD-876A-41FA-99EA-BF1E684F0C3E}"/>
    <cellStyle name="Normal 79" xfId="2034" xr:uid="{1DB979B4-F001-4D2C-BE66-2BA6C3A6D61C}"/>
    <cellStyle name="Normal 8" xfId="1599" xr:uid="{6F01B6EA-2226-449A-AD1C-6F82E441DFB4}"/>
    <cellStyle name="Normal 8 2" xfId="1600" xr:uid="{ED815853-3B1A-4BCC-AAFD-5928775CCE75}"/>
    <cellStyle name="Normal 8 3" xfId="1601" xr:uid="{4427A61B-7BC5-4E69-827E-B52D7B330FC9}"/>
    <cellStyle name="Normal 8 4" xfId="1602" xr:uid="{E2807689-FA38-4D1E-8130-D1BDF3CD0888}"/>
    <cellStyle name="Normal 8 5" xfId="1603" xr:uid="{28B7C662-4E24-45DA-BED2-E9BFEFC45858}"/>
    <cellStyle name="Normal 8 6" xfId="1604" xr:uid="{0559E167-8B41-4EC8-832B-F713C8DC0DE1}"/>
    <cellStyle name="Normal 80" xfId="2032" xr:uid="{3F31AE4A-A390-46F8-8F54-49DD68CF86B9}"/>
    <cellStyle name="Normal 81" xfId="2036" xr:uid="{1CFE0D9A-2CB3-4175-9FFE-C21CCB98A749}"/>
    <cellStyle name="Normal 82" xfId="2102" xr:uid="{5165C279-E6A7-49D4-804A-AAF039CAA677}"/>
    <cellStyle name="Normal 83" xfId="2100" xr:uid="{917C8986-0F1C-49CF-87ED-7ED6899E6C5C}"/>
    <cellStyle name="Normal 84" xfId="2098" xr:uid="{9B456FFE-9898-4752-A243-ED2046E618A9}"/>
    <cellStyle name="Normal 85" xfId="2046" xr:uid="{898A9BA1-F469-47E8-805C-2AE37A8C4F72}"/>
    <cellStyle name="Normal 86" xfId="2095" xr:uid="{F57F5F41-71A3-4020-81B8-0D984EE7A2E9}"/>
    <cellStyle name="Normal 87" xfId="2049" xr:uid="{E732633B-EE6F-43C9-AF93-7CA77EECA67F}"/>
    <cellStyle name="Normal 88" xfId="2105" xr:uid="{D3FA239C-92D7-4255-951D-1C8A0A565BE7}"/>
    <cellStyle name="Normal 9" xfId="1605" xr:uid="{038B0F53-3DFE-4254-967E-5DBC3B095E98}"/>
    <cellStyle name="Normal 9 2" xfId="1606" xr:uid="{FCA0DCF4-4B11-4543-A2BB-0F190D78270E}"/>
    <cellStyle name="Normal 9 3" xfId="1607" xr:uid="{BF2E03AB-54F0-4393-A324-66F9D3A3D785}"/>
    <cellStyle name="Normal 9 4" xfId="1608" xr:uid="{B1EBCC30-1725-442A-B4FB-D3B616100648}"/>
    <cellStyle name="Normal 9 5" xfId="1609" xr:uid="{888E3C60-714B-49EA-9285-BDB66E21D4E3}"/>
    <cellStyle name="Normal 9 6" xfId="1610" xr:uid="{AA7545F5-273B-464A-9CA3-D6876D4624D7}"/>
    <cellStyle name="Normal_Sheet1" xfId="2030" xr:uid="{133698C6-9D04-44C4-BB36-C200F596F844}"/>
    <cellStyle name="Normal0" xfId="1611" xr:uid="{2F279CB5-16F3-4CB2-A68F-BF84236DF035}"/>
    <cellStyle name="Normal0 2" xfId="1612" xr:uid="{9F422825-E557-49AF-8647-936A7ADC8BF6}"/>
    <cellStyle name="Normale_Foglio2" xfId="1613" xr:uid="{18786D6D-D44E-46BF-98C6-ABD377DBC05D}"/>
    <cellStyle name="NUMBER" xfId="1614" xr:uid="{AAB8C290-0F5F-480F-A49D-AEB6B9180F41}"/>
    <cellStyle name="NumberFormat" xfId="1615" xr:uid="{AB572E1B-CEC8-40E7-B0FE-60CCFF86D285}"/>
    <cellStyle name="NumberFormat 2" xfId="1616" xr:uid="{65569B84-174F-41B3-9469-F881ED6BB657}"/>
    <cellStyle name="NumberFormat_Sheet1" xfId="1617" xr:uid="{41024DDE-6F0B-4AD6-BB84-8753361F4EE8}"/>
    <cellStyle name="Œ…‹æØ‚è [0.00]_Industry" xfId="1618" xr:uid="{F9A53D76-B6B6-4D42-AEB8-D63CFA2AF6F3}"/>
    <cellStyle name="Œ…‹æØ‚è_Industry" xfId="1619" xr:uid="{B37D3BD7-5658-4C3B-8AAA-EA2DA38496B1}"/>
    <cellStyle name="Osaka" xfId="1620" xr:uid="{B8D76119-6DE4-45FB-B77C-0CE4467C0CB8}"/>
    <cellStyle name="output 2" xfId="1621" xr:uid="{C314E85A-6663-42A8-9054-E8E415BDDB33}"/>
    <cellStyle name="Page Heading 12pt" xfId="1622" xr:uid="{01BD5C51-F8CC-46A1-9D33-21DD4F085F34}"/>
    <cellStyle name="Page Heading 12pt w/line" xfId="1623" xr:uid="{B501DFAD-A708-4BF1-942E-998E0FD18B52}"/>
    <cellStyle name="Page Heading 14pt" xfId="1624" xr:uid="{FD06507D-41B7-435C-967A-E7FF6937D2EE}"/>
    <cellStyle name="Page Heading Large" xfId="1625" xr:uid="{B00264F1-0FD0-45D5-A6B4-9A4F345691FB}"/>
    <cellStyle name="Page Heading Small" xfId="1626" xr:uid="{0CC37B60-B057-46D0-8B0D-3741DD941A08}"/>
    <cellStyle name="Page Number" xfId="1627" xr:uid="{F80FF572-1F1C-40BA-8ADA-3E3318387444}"/>
    <cellStyle name="ParentCO" xfId="1628" xr:uid="{95A92683-BA3D-42C9-983D-B4AF1B2ECE66}"/>
    <cellStyle name="pb_page_heading_LS" xfId="1629" xr:uid="{16E76493-7B8C-41E8-9783-A65890E022D0}"/>
    <cellStyle name="Percent [0]" xfId="1630" xr:uid="{22F1DBEF-37AE-4200-8B57-72F911DCC14F}"/>
    <cellStyle name="Percent [0] 2" xfId="1631" xr:uid="{4A911D6A-C584-4A29-980D-51CE6521D781}"/>
    <cellStyle name="Percent [00]" xfId="1632" xr:uid="{32CBC27D-58AC-44F3-BB08-6E5AECFE7A6D}"/>
    <cellStyle name="Percent [00] 2" xfId="1633" xr:uid="{B93B309D-F0B6-4061-BAB0-99486484E847}"/>
    <cellStyle name="Percent [2]" xfId="1634" xr:uid="{33F2F284-B754-4ACF-859F-93674A9DCCC3}"/>
    <cellStyle name="Percent [2] 2" xfId="1635" xr:uid="{E051E3CB-2D25-4A96-A206-7A222ED58B49}"/>
    <cellStyle name="Percent 10" xfId="2045" xr:uid="{E229AF00-436D-4394-A9B4-F1A641443F73}"/>
    <cellStyle name="Percent 11" xfId="2096" xr:uid="{30A72126-8FD6-4387-BCE8-36ED2EF27119}"/>
    <cellStyle name="Percent 12" xfId="2048" xr:uid="{7D04E17D-32B9-4573-95F0-CA76F0205E29}"/>
    <cellStyle name="Percent 13" xfId="2093" xr:uid="{C8DCF12B-0F14-428E-9785-17FDDADCEBA1}"/>
    <cellStyle name="Percent 14" xfId="2051" xr:uid="{88664BE2-5632-415F-8DC1-5181EA97AEF3}"/>
    <cellStyle name="Percent 2" xfId="7" xr:uid="{106827EF-62BD-4C34-81F5-2C5C89657E92}"/>
    <cellStyle name="Percent 2 2" xfId="20" xr:uid="{5A7C086D-F5D3-4F5B-9AD0-84B7C2E56D50}"/>
    <cellStyle name="Percent 2 2 2" xfId="24" xr:uid="{81232AFC-3145-49AD-AF71-DFE3401136CF}"/>
    <cellStyle name="Percent 2 2 2 2" xfId="1638" xr:uid="{FF26BE3C-E443-4A3C-8F51-737A96AECEC6}"/>
    <cellStyle name="Percent 2 2 2 3" xfId="1965" xr:uid="{449878CC-93C9-4C80-9F14-83AD22A35D30}"/>
    <cellStyle name="Percent 2 2 3" xfId="1637" xr:uid="{33CD2C7E-C6D8-4930-8721-EAC2D60CDFA4}"/>
    <cellStyle name="Percent 2 2 4" xfId="1961" xr:uid="{6BAF5ABF-5612-424B-8A89-CAB2F66842EC}"/>
    <cellStyle name="Percent 2 3" xfId="1639" xr:uid="{C5C39FF8-FE92-4BD4-8FDA-EA4BE7DB2D7C}"/>
    <cellStyle name="Percent 2 4" xfId="1636" xr:uid="{E97AA3C8-6821-4997-A4E4-E4052AC24134}"/>
    <cellStyle name="Percent 2 5" xfId="1958" xr:uid="{919C8C55-CB64-4335-9C94-7049A3BE36DC}"/>
    <cellStyle name="Percent 3" xfId="1640" xr:uid="{C3ABA410-13DC-4275-B724-9E9B69CB295D}"/>
    <cellStyle name="Percent 4" xfId="1641" xr:uid="{173FAD70-E761-4BCB-A3AB-47C61D69736C}"/>
    <cellStyle name="Percent 5" xfId="10" xr:uid="{DD89A987-0D30-400C-A086-664AF859E9D6}"/>
    <cellStyle name="Percent 6" xfId="2035" xr:uid="{247D759B-8D90-4C42-B84E-3878BF3C6B83}"/>
    <cellStyle name="Percent 7" xfId="2103" xr:uid="{55742803-F44D-4BE4-807F-1DA45C366401}"/>
    <cellStyle name="Percent 8" xfId="2043" xr:uid="{BC1EB5BC-9A75-437F-A2A9-ABBA3E893D17}"/>
    <cellStyle name="Percent 9" xfId="2099" xr:uid="{3D6C0CBA-09C8-41D8-B4EE-8FBD065050C2}"/>
    <cellStyle name="Percent Hard" xfId="1642" xr:uid="{6DF407CF-2754-4B1F-9D74-5CD85D6E51E7}"/>
    <cellStyle name="Percent Hard 2" xfId="1643" xr:uid="{5171C368-DCE1-4F5F-90CB-D41565443D3E}"/>
    <cellStyle name="Percent2" xfId="1644" xr:uid="{06AE48EF-7638-42FA-94FE-ADB6184F8B97}"/>
    <cellStyle name="Percent2 2" xfId="1645" xr:uid="{ECA6838B-E316-4D94-9CFF-5941FDD7D6AF}"/>
    <cellStyle name="percentage" xfId="1646" xr:uid="{CBDB0001-04EF-425E-83E6-770A84289793}"/>
    <cellStyle name="Porcentaje" xfId="1647" xr:uid="{4806909C-321D-4336-8B6E-3905F3C58A20}"/>
    <cellStyle name="Porcentaje 2" xfId="1648" xr:uid="{6BA6471B-69DC-4E97-B890-C3667BFBFC22}"/>
    <cellStyle name="Porcentaje_NAVs-SM" xfId="1649" xr:uid="{813AD5A4-7480-4E66-8CD8-5C4FA2048E67}"/>
    <cellStyle name="PrePop Currency (0)" xfId="1650" xr:uid="{8260816A-2956-4999-A37C-8A8ABF89C8D4}"/>
    <cellStyle name="PrePop Currency (2)" xfId="1651" xr:uid="{B1223A5B-4DDF-4615-B730-240A1C212D95}"/>
    <cellStyle name="PrePop Units (0)" xfId="1652" xr:uid="{9407CFED-0131-4097-AEE3-A747C4B2525D}"/>
    <cellStyle name="PrePop Units (1)" xfId="1653" xr:uid="{51DA780F-B096-4464-9A29-9FDEEA543C29}"/>
    <cellStyle name="PrePop Units (2)" xfId="1654" xr:uid="{30436278-B9E2-4569-A1BD-A970B2EF3523}"/>
    <cellStyle name="Prices shade" xfId="1655" xr:uid="{B4874C80-7EA8-46A2-9EEF-B1CA6ADC4B99}"/>
    <cellStyle name="Product Header" xfId="1656" xr:uid="{9C336772-75D4-4622-892D-1B64F8B79E39}"/>
    <cellStyle name="repo" xfId="1657" xr:uid="{3CBF03C8-B629-47E3-A200-0DFA9F50932D}"/>
    <cellStyle name="Report$Number" xfId="1658" xr:uid="{1106E92D-47F6-4B88-8B01-9789F364A9F3}"/>
    <cellStyle name="ReportHeader" xfId="1659" xr:uid="{21B75049-1B2E-47CE-9B19-760EC4EE0074}"/>
    <cellStyle name="ReportNumber" xfId="1660" xr:uid="{E3468CD8-2851-48A4-9002-A94280D2670D}"/>
    <cellStyle name="ReportSectionTitle" xfId="1661" xr:uid="{3B778979-1E5C-4C22-8320-3F83D24F8A36}"/>
    <cellStyle name="ReportSectionTotal" xfId="1662" xr:uid="{7CA313BE-C538-4492-8FDA-3CEC515DD633}"/>
    <cellStyle name="ReportText" xfId="1663" xr:uid="{7051D7FD-84A3-4E24-BD7E-EB797A1EA0EE}"/>
    <cellStyle name="ReportTextTop" xfId="1664" xr:uid="{51503821-E6B2-4DB3-AA32-BEA4EEF16DC9}"/>
    <cellStyle name="ReportTextWrap" xfId="1665" xr:uid="{7C66F614-934E-4C0A-9857-C2691287C9BE}"/>
    <cellStyle name="ReportTitle" xfId="1666" xr:uid="{68051B79-1B22-44A9-852C-60FE0EFFC6E3}"/>
    <cellStyle name="Reset  - Style4" xfId="1667" xr:uid="{579498C9-849C-4ADC-9FB7-E771E145581B}"/>
    <cellStyle name="results" xfId="1668" xr:uid="{B4C072D9-297C-433E-A934-E47F0F9569FA}"/>
    <cellStyle name="ri" xfId="1669" xr:uid="{B2A6BB56-CC93-44A1-9796-BF05B58DF6B9}"/>
    <cellStyle name="ri 2" xfId="1670" xr:uid="{84A4038F-1FF9-4851-A6AD-7E0D839979D6}"/>
    <cellStyle name="RM" xfId="1671" xr:uid="{67FFD47B-695F-467A-A182-2BCFABE1CEDB}"/>
    <cellStyle name="RoundingPrecision_Avg_BS " xfId="1672" xr:uid="{D7C34408-1A88-4C63-9D91-F78DDB0A9914}"/>
    <cellStyle name="RowStyle" xfId="1673" xr:uid="{9AEE7943-FD50-4497-94D9-8371728CD605}"/>
    <cellStyle name="SAPBEXaggData" xfId="1674" xr:uid="{E389CD2E-8798-46AA-BDB6-F3CF4A0E5A0C}"/>
    <cellStyle name="SAPBEXaggDataEmph" xfId="1675" xr:uid="{D0C625E6-5261-4834-9989-005EAB26D52A}"/>
    <cellStyle name="SAPBEXaggItem" xfId="1676" xr:uid="{4790D711-2D00-4FA5-AB87-E5F94E8EE40F}"/>
    <cellStyle name="SAPBEXchaText" xfId="1677" xr:uid="{951F78FD-A861-4775-95A7-B72969A801EF}"/>
    <cellStyle name="SAPBEXexcBad7" xfId="1678" xr:uid="{7D82719A-4B02-43F1-9B78-B80D12FECCE4}"/>
    <cellStyle name="SAPBEXexcBad8" xfId="1679" xr:uid="{55A244F5-DCDA-4899-A696-261EAB69D811}"/>
    <cellStyle name="SAPBEXexcBad9" xfId="1680" xr:uid="{C5173E82-E261-4AC5-839D-DDA614AD303F}"/>
    <cellStyle name="SAPBEXexcCritical4" xfId="1681" xr:uid="{2A739438-AAFD-467E-A92D-867F15637045}"/>
    <cellStyle name="SAPBEXexcCritical5" xfId="1682" xr:uid="{C9E40A78-9D17-4687-B982-B69A23878A57}"/>
    <cellStyle name="SAPBEXexcCritical6" xfId="1683" xr:uid="{633C4B3A-B2AD-428E-AE80-DE6EDBF53567}"/>
    <cellStyle name="SAPBEXexcGood1" xfId="1684" xr:uid="{7F74BD3E-E778-4C6E-BD02-BD49CDBB7981}"/>
    <cellStyle name="SAPBEXexcGood2" xfId="1685" xr:uid="{D57CA75B-F94E-4CB5-9B17-E5E5FEB05C1E}"/>
    <cellStyle name="SAPBEXexcGood3" xfId="1686" xr:uid="{6D14940D-53C9-4A75-8251-0AA1BED17B5B}"/>
    <cellStyle name="SAPBEXfilterDrill" xfId="1687" xr:uid="{92ABA63E-D246-47DE-BC0A-865A3EE2879A}"/>
    <cellStyle name="SAPBEXfilterItem" xfId="1688" xr:uid="{40583CD6-9F05-440E-BCC4-3FEE27E6CB16}"/>
    <cellStyle name="SAPBEXfilterText" xfId="1689" xr:uid="{5A6725C6-69BD-4F06-BACF-B84AD9CA7FA6}"/>
    <cellStyle name="SAPBEXformats" xfId="1690" xr:uid="{85B47144-3A90-47C0-A9BC-7E37B0339E28}"/>
    <cellStyle name="SAPBEXheaderItem" xfId="1691" xr:uid="{ED64E4F4-25A0-4D75-A698-1E9D14AE9A6C}"/>
    <cellStyle name="SAPBEXheaderText" xfId="1692" xr:uid="{5827A92B-0CD5-47A0-965B-30C7C43B4448}"/>
    <cellStyle name="SAPBEXHLevel0" xfId="1693" xr:uid="{BFB2C63C-6FBF-4343-897F-E4C8A2A61B27}"/>
    <cellStyle name="SAPBEXHLevel1" xfId="1694" xr:uid="{EC80BC6F-6D26-45BE-8744-25A79A5E3323}"/>
    <cellStyle name="SAPBEXHLevel2" xfId="1695" xr:uid="{280DFCAF-6693-4951-B1E1-168C3A3A7546}"/>
    <cellStyle name="SAPBEXHLevel3" xfId="1696" xr:uid="{23AB030E-8AEF-4CEB-B762-0DD1A3FB1481}"/>
    <cellStyle name="SAPBEXresData" xfId="1697" xr:uid="{7437D2E2-CD06-4FCA-89E0-0C1A617F4138}"/>
    <cellStyle name="SAPBEXresDataEmph" xfId="1698" xr:uid="{0A1928DD-1134-4C52-BECC-8F9851A1236C}"/>
    <cellStyle name="SAPBEXresItem" xfId="1699" xr:uid="{E1B435C6-1773-4CC7-A5BD-2F3F03FD87CC}"/>
    <cellStyle name="SAPBEXstdData" xfId="1700" xr:uid="{46D82597-3FCC-4EB1-B745-69D13AC39053}"/>
    <cellStyle name="SAPBEXstdDataEmph" xfId="1701" xr:uid="{C04C2150-19D4-47F5-88F1-E614B0D0E9F6}"/>
    <cellStyle name="SAPBEXstdItem" xfId="1702" xr:uid="{0BBE2478-E758-48A3-8D1D-B07914247779}"/>
    <cellStyle name="SAPBEXstdItemX" xfId="1703" xr:uid="{A9A32049-6F4F-4726-8EB7-C88B59184CEC}"/>
    <cellStyle name="SAPBEXtitle" xfId="1704" xr:uid="{BD032C1D-11B4-4D65-8188-BCFE78DA83EE}"/>
    <cellStyle name="SAPBEXundefined" xfId="1705" xr:uid="{E0A1E04C-9096-429D-80C5-9C4C7AA25B60}"/>
    <cellStyle name="ScotchRule" xfId="1706" xr:uid="{08F9B1F1-9F0F-4987-9B3B-BEF34065B99E}"/>
    <cellStyle name="SdapsDate" xfId="1707" xr:uid="{D67FAD1B-7854-4426-A2E1-B835AEF9CBAF}"/>
    <cellStyle name="SdapsDate 2" xfId="1708" xr:uid="{A6721058-2007-4A2A-9965-E50A19125604}"/>
    <cellStyle name="Shaded" xfId="1709" xr:uid="{425B120E-CF6D-4B45-AC2E-15CDB929F51E}"/>
    <cellStyle name="Short $" xfId="1710" xr:uid="{ED448D00-32D2-4B03-8470-7A5B52F982D9}"/>
    <cellStyle name="Short $ 2" xfId="1711" xr:uid="{EB46B2BD-AB7D-41A2-AEEC-153B366852EC}"/>
    <cellStyle name="Simex" xfId="1712" xr:uid="{AFAF8FF6-F4BE-420B-AF8B-4D3E060C764A}"/>
    <cellStyle name="Single Border" xfId="1713" xr:uid="{B6AF42C7-4FB3-4935-8E5D-8C16555C8DD5}"/>
    <cellStyle name="Soc_DataEntry" xfId="1714" xr:uid="{6204BA4F-C5A3-47CC-95F6-98556DA613AF}"/>
    <cellStyle name="Standard_Anpassen der Amortisation" xfId="1715" xr:uid="{BF062C75-7F26-4468-928E-AC9736797FD2}"/>
    <cellStyle name="Status" xfId="1716" xr:uid="{DCA77D0D-6E4D-47D4-B8FF-993213D22BC9}"/>
    <cellStyle name="Status 2" xfId="1717" xr:uid="{04A0E864-9C5F-434F-87FA-7481753D3AB1}"/>
    <cellStyle name="Status_Sheet1" xfId="1718" xr:uid="{DBF247EA-5AC4-4850-9481-EFFDA6CB1FCD}"/>
    <cellStyle name="Strike" xfId="1719" xr:uid="{6CCD721F-8C4A-4C65-BB37-A58612ED2145}"/>
    <cellStyle name="Style 1" xfId="1720" xr:uid="{46141C4C-0CC0-44DD-A6A1-B92F96C940DC}"/>
    <cellStyle name="Style 1 2" xfId="1721" xr:uid="{4B4BE057-BE00-444C-BCA8-10A25685FF4C}"/>
    <cellStyle name="Style 1_Sheet1" xfId="1722" xr:uid="{4852DF77-2BC8-4C6D-8270-04A9BEC6A4EA}"/>
    <cellStyle name="Style 10" xfId="1723" xr:uid="{E807AE2F-46E7-4D6C-9585-818E2811860A}"/>
    <cellStyle name="Style 10 2" xfId="1724" xr:uid="{7AA806C6-286F-44C8-9409-0B4DAF3F2817}"/>
    <cellStyle name="Style 10_Sheet1" xfId="1725" xr:uid="{FE3C3F56-0965-470C-8E0A-04EE48F7FE7D}"/>
    <cellStyle name="Style 11" xfId="1726" xr:uid="{4C222099-5EF8-41E5-9273-671B31C602C3}"/>
    <cellStyle name="Style 11 2" xfId="1727" xr:uid="{78C66882-B14E-4632-98D5-1220EE027997}"/>
    <cellStyle name="Style 11_Sheet1" xfId="1728" xr:uid="{BF09248D-6664-4AC5-9113-1842A41FF98B}"/>
    <cellStyle name="Style 12" xfId="1729" xr:uid="{707C6BD2-CDD8-4A4E-8518-9F0561E64E79}"/>
    <cellStyle name="Style 12 2" xfId="1730" xr:uid="{92581626-70BE-4881-A758-AA3DEB30975C}"/>
    <cellStyle name="Style 12_Sheet1" xfId="1731" xr:uid="{59A8E089-F2A7-466A-AEB2-8067E34E7A0C}"/>
    <cellStyle name="Style 13" xfId="1732" xr:uid="{3362E23C-C7E2-4FFA-86BA-4D9B534AF0DF}"/>
    <cellStyle name="Style 14" xfId="1733" xr:uid="{EBA4721D-2ACD-479A-A494-E50FD723E99E}"/>
    <cellStyle name="Style 15" xfId="1734" xr:uid="{6E73B0AC-2954-400B-87F6-A8BB02128F08}"/>
    <cellStyle name="Style 16" xfId="1735" xr:uid="{47A26E1C-41B9-439D-A8EF-8A6B2EF70D85}"/>
    <cellStyle name="Style 17" xfId="1736" xr:uid="{BB90AD81-1E72-48FC-B6E0-3D0DD4C957DE}"/>
    <cellStyle name="Style 18" xfId="1737" xr:uid="{3DDCC58D-6D13-40BB-802F-89D87E9D33EB}"/>
    <cellStyle name="Style 19" xfId="1738" xr:uid="{9696914E-1ACA-4C5E-875E-AAC05DBE11AC}"/>
    <cellStyle name="Style 2" xfId="1739" xr:uid="{A0B2D55D-3773-4F94-8A62-AAF01B6BD168}"/>
    <cellStyle name="Style 2 2" xfId="1740" xr:uid="{5CA25277-7AAC-493F-9B80-E2CAB56E7D9E}"/>
    <cellStyle name="Style 2_Sheet1" xfId="1741" xr:uid="{7CB4320E-6380-4107-BAA3-46B55920FC89}"/>
    <cellStyle name="Style 20" xfId="1742" xr:uid="{E5E102B6-BADE-4FD4-98D0-B553BF0F072C}"/>
    <cellStyle name="Style 21" xfId="1743" xr:uid="{C7775619-A487-4E49-A398-BAD9FB2BF036}"/>
    <cellStyle name="Style 22" xfId="1744" xr:uid="{0B17A3CC-1D7B-4D61-BB8F-FA10E1089899}"/>
    <cellStyle name="Style 23" xfId="1745" xr:uid="{B5A89E64-2FCE-4FB7-84B1-89FF3C17DF98}"/>
    <cellStyle name="Style 24" xfId="1746" xr:uid="{8ADA7D1E-7A31-4FB1-9887-FDACE59B4EEA}"/>
    <cellStyle name="Style 25" xfId="1747" xr:uid="{A92966A0-45C7-466D-836A-A28C5B0BAF0C}"/>
    <cellStyle name="Style 25 2" xfId="1748" xr:uid="{C524F7BB-6ECB-4F5A-A5B2-765748672B23}"/>
    <cellStyle name="Style 25_Sheet1" xfId="1749" xr:uid="{B4A344D6-E5BF-47C3-B75B-1C62A0424FA5}"/>
    <cellStyle name="Style 26" xfId="1750" xr:uid="{A2421DE4-5D38-4E2E-97F2-B436C4AA1E5C}"/>
    <cellStyle name="Style 26 2" xfId="1751" xr:uid="{EFC74316-2545-43FC-B400-F274999FB5CE}"/>
    <cellStyle name="Style 26_Sheet1" xfId="1752" xr:uid="{7C4C4838-EF65-4517-943B-2CDC8C26E26E}"/>
    <cellStyle name="Style 27" xfId="1753" xr:uid="{5C3488FA-49EA-4E4B-AC84-8561DA3D3360}"/>
    <cellStyle name="Style 27 2" xfId="1754" xr:uid="{A79E8E59-6F66-47B5-BBAC-00C1DC5A2908}"/>
    <cellStyle name="Style 27_Sheet1" xfId="1755" xr:uid="{8F354EE6-988D-4D1A-B58E-18478E18C8C4}"/>
    <cellStyle name="Style 28" xfId="1756" xr:uid="{EFDC2A72-A1B3-4F2B-8881-C3C8FEE3D21A}"/>
    <cellStyle name="Style 28 2" xfId="1757" xr:uid="{120CD905-E39D-48F7-8E5C-C0417F6961D4}"/>
    <cellStyle name="Style 28_Sheet1" xfId="1758" xr:uid="{83E7AAFE-7496-4B8A-AAA5-323ED4402747}"/>
    <cellStyle name="Style 29" xfId="1759" xr:uid="{ABB11C62-B976-4431-928A-8C2F5DFD5D58}"/>
    <cellStyle name="Style 29 2" xfId="1760" xr:uid="{1B728133-B1B0-4EE1-8462-7C3FA53736A1}"/>
    <cellStyle name="Style 29_Sheet1" xfId="1761" xr:uid="{944351DB-7AE8-43C1-A083-B256D91C52A1}"/>
    <cellStyle name="Style 3" xfId="1762" xr:uid="{84A76549-2F61-472A-A9DB-9D03D81BA55E}"/>
    <cellStyle name="Style 3 2" xfId="1763" xr:uid="{08A13D42-1FD2-4468-9C56-A783DDA79729}"/>
    <cellStyle name="Style 3_Sheet1" xfId="1764" xr:uid="{1FF6611E-4CC2-41F1-AAAA-5F2CB9281C89}"/>
    <cellStyle name="Style 30" xfId="1765" xr:uid="{B22A9F26-DEFC-4065-8AB0-44DCEDE2B7B4}"/>
    <cellStyle name="Style 30 2" xfId="1766" xr:uid="{BFD70AC4-2E1C-4143-9EC3-B2A0C3468065}"/>
    <cellStyle name="Style 30_Sheet1" xfId="1767" xr:uid="{145647C1-65F2-4D3F-9336-B9F6289AF8A3}"/>
    <cellStyle name="Style 31" xfId="1768" xr:uid="{8DD59B11-03BE-449F-BD72-4E75CEEBAED9}"/>
    <cellStyle name="Style 31 2" xfId="1769" xr:uid="{D2603489-4B93-4F11-AABE-4D2BB4002819}"/>
    <cellStyle name="Style 31_Sheet1" xfId="1770" xr:uid="{880B5E98-33FA-4AA2-8233-6B757C64223F}"/>
    <cellStyle name="Style 32" xfId="1771" xr:uid="{E27C5F95-CB25-4C56-A39C-843944D45552}"/>
    <cellStyle name="Style 32 2" xfId="1772" xr:uid="{5D90D235-56F4-40CC-A4B9-CE188748B90D}"/>
    <cellStyle name="Style 32_Sheet1" xfId="1773" xr:uid="{95301917-F39A-4BF8-A55E-AD8CCCD78927}"/>
    <cellStyle name="Style 33" xfId="1774" xr:uid="{9805C73A-5426-4039-A81A-BA4D159A5D81}"/>
    <cellStyle name="Style 33 2" xfId="1775" xr:uid="{66105347-1C63-4450-AB85-1BEEC91FC32C}"/>
    <cellStyle name="Style 33_Sheet1" xfId="1776" xr:uid="{F409CF31-AD4B-47CF-98E1-542C7B942C9C}"/>
    <cellStyle name="Style 34" xfId="1777" xr:uid="{7A35D436-202E-45D3-AAF2-1DDBB5B56E6A}"/>
    <cellStyle name="Style 34 2" xfId="1778" xr:uid="{2B9E1C70-E712-4ED3-958B-610489BD4BD8}"/>
    <cellStyle name="Style 34_Sheet1" xfId="1779" xr:uid="{6C463B2C-EAEB-46A4-BC41-5BDB788F09CA}"/>
    <cellStyle name="Style 35" xfId="1780" xr:uid="{F176C0C7-C011-4830-9EB8-3064F2AB37FD}"/>
    <cellStyle name="Style 35 2" xfId="1781" xr:uid="{3190DB63-8060-486B-8118-BA3443C95532}"/>
    <cellStyle name="Style 35_Sheet1" xfId="1782" xr:uid="{A920F7F6-A5C5-429F-9B7A-05703B5C6F1D}"/>
    <cellStyle name="Style 36" xfId="1783" xr:uid="{B1496910-7EF2-4498-A1DA-0E34082DE867}"/>
    <cellStyle name="Style 36 2" xfId="1784" xr:uid="{8335DF38-69B8-405B-9C0B-4D53154A9658}"/>
    <cellStyle name="Style 36_Sheet1" xfId="1785" xr:uid="{34BB840C-9C18-4299-8C64-D76D84AD13F0}"/>
    <cellStyle name="Style 37" xfId="1786" xr:uid="{40B3163B-C996-4089-AFF0-A4D251835598}"/>
    <cellStyle name="Style 37 2" xfId="1787" xr:uid="{650AF097-335B-430E-872B-C01295A31883}"/>
    <cellStyle name="Style 37_Sheet1" xfId="1788" xr:uid="{968CD6FC-2D7D-4048-B202-5A747A8850E9}"/>
    <cellStyle name="Style 38" xfId="1789" xr:uid="{79D5B9F0-F531-46BF-BE9E-82894FCEB036}"/>
    <cellStyle name="Style 38 2" xfId="1790" xr:uid="{9FB24793-6F2B-4F4E-94B2-01B228769C07}"/>
    <cellStyle name="Style 38_Sheet1" xfId="1791" xr:uid="{B9DEDEDE-7A72-40D3-BFCE-B68E19EFF323}"/>
    <cellStyle name="Style 39" xfId="1792" xr:uid="{6B2D69F0-8584-4EF9-BF45-3DEB1F03E26F}"/>
    <cellStyle name="Style 39 2" xfId="1793" xr:uid="{45033F6B-9C2A-4D00-BA5D-28F02340B930}"/>
    <cellStyle name="Style 39_Sheet1" xfId="1794" xr:uid="{09F327FD-FEDE-4972-AF67-1072EA6FC5F8}"/>
    <cellStyle name="Style 4" xfId="1795" xr:uid="{BB9F9D6B-2BBE-49C0-9334-1864FB5A558F}"/>
    <cellStyle name="Style 4 2" xfId="1796" xr:uid="{060CBCD2-F0D1-4FB2-BAD3-4924FB30BFEF}"/>
    <cellStyle name="Style 4_Sheet1" xfId="1797" xr:uid="{DAEFF89C-70EC-488A-930D-28A33FB1925B}"/>
    <cellStyle name="Style 40" xfId="1798" xr:uid="{6DA0E403-80BC-4B86-B0B9-55F155391478}"/>
    <cellStyle name="Style 40 2" xfId="1799" xr:uid="{3864CD18-996C-473E-8DF6-08FF25A81506}"/>
    <cellStyle name="Style 40_Sheet1" xfId="1800" xr:uid="{ECF67EBA-2733-4BF3-A952-5205863999BE}"/>
    <cellStyle name="Style 41" xfId="1801" xr:uid="{496ECD5E-816E-43A9-B090-E74840FC3841}"/>
    <cellStyle name="Style 41 2" xfId="1802" xr:uid="{ADE49179-B7DA-4E87-B0BC-434A8948D2DF}"/>
    <cellStyle name="Style 41_Sheet1" xfId="1803" xr:uid="{E35A1228-4525-49D4-ACC5-5917291709D7}"/>
    <cellStyle name="Style 42" xfId="1804" xr:uid="{E2140F7E-1006-4E72-AB5A-383DF1CF9A97}"/>
    <cellStyle name="Style 42 2" xfId="1805" xr:uid="{D2A1C348-BA57-4992-ACB3-4682F9EDF66C}"/>
    <cellStyle name="Style 42_Sheet1" xfId="1806" xr:uid="{F5BCD4FD-5F52-4098-A5DE-C161C2229E2F}"/>
    <cellStyle name="Style 43" xfId="1807" xr:uid="{DC9B3286-BE40-4D0D-9903-3BB31F1D9889}"/>
    <cellStyle name="Style 43 2" xfId="1808" xr:uid="{97940951-4C27-4F14-A5CD-FC2B7EFDA7CF}"/>
    <cellStyle name="Style 43_Sheet1" xfId="1809" xr:uid="{0BA96278-AB3E-4DEC-B6A4-9553A4AE1D88}"/>
    <cellStyle name="Style 44" xfId="1810" xr:uid="{F15B5BE2-46C2-42B7-AB9D-C8D4E493DC4F}"/>
    <cellStyle name="Style 44 2" xfId="1811" xr:uid="{9BD8800A-0E7C-4D2C-81CE-CDC949314126}"/>
    <cellStyle name="Style 44_Sheet1" xfId="1812" xr:uid="{0EDD2CC2-F29F-4081-913B-9C3EC4048215}"/>
    <cellStyle name="Style 45" xfId="1813" xr:uid="{8FECE751-4A03-40FF-85EC-F6519C4F7111}"/>
    <cellStyle name="Style 45 2" xfId="1814" xr:uid="{0742B64C-D57B-4DD7-800B-4D65AC9E5978}"/>
    <cellStyle name="Style 45_Sheet1" xfId="1815" xr:uid="{DDCFFDF0-CC93-42F4-88FF-72323D286700}"/>
    <cellStyle name="Style 46" xfId="1816" xr:uid="{4FCBD735-611B-4357-BAFD-77312084B425}"/>
    <cellStyle name="Style 46 2" xfId="1817" xr:uid="{53D97122-5168-487A-A1BB-DD127F6D363D}"/>
    <cellStyle name="Style 46_Sheet1" xfId="1818" xr:uid="{9AD6CD44-4CD6-4C41-A95C-7CB1DA406D44}"/>
    <cellStyle name="Style 47" xfId="1819" xr:uid="{A8CF0FF3-6EDD-4F99-8337-FA9747CD82C5}"/>
    <cellStyle name="Style 47 2" xfId="1820" xr:uid="{78946246-22B6-4837-A6C0-F04E1E631044}"/>
    <cellStyle name="Style 47_Sheet1" xfId="1821" xr:uid="{1DDD915F-4428-4DB2-B725-AAD5A1E2CA30}"/>
    <cellStyle name="Style 48" xfId="1822" xr:uid="{20A636C1-F0FD-48CA-B32C-46E6A910BD5D}"/>
    <cellStyle name="Style 48 2" xfId="1823" xr:uid="{F87F4704-92D1-4568-AB1D-D97AEF266423}"/>
    <cellStyle name="Style 48_Sheet1" xfId="1824" xr:uid="{C37ABBAE-8690-4F73-965A-965600B1CDF7}"/>
    <cellStyle name="Style 49" xfId="1825" xr:uid="{F54DD811-A441-4EBD-A614-C35EB9DC9A0B}"/>
    <cellStyle name="Style 5" xfId="1826" xr:uid="{FFC9FB67-3255-498F-9C57-9DA574CBADDC}"/>
    <cellStyle name="Style 5 2" xfId="1827" xr:uid="{938E4CDF-3FB3-43A1-81A6-36D495F9558E}"/>
    <cellStyle name="Style 5_Sheet1" xfId="1828" xr:uid="{D706B738-B00C-4227-99A9-F0768711493F}"/>
    <cellStyle name="Style 50" xfId="1829" xr:uid="{142A9E25-E893-4C2F-8B11-281798612FF4}"/>
    <cellStyle name="Style 51" xfId="1830" xr:uid="{EE97544E-2D61-4CE2-8E47-4FB3CFA0CDF0}"/>
    <cellStyle name="Style 52" xfId="1831" xr:uid="{73B1DCD2-7FCB-4810-8E24-AD50F49BD1BB}"/>
    <cellStyle name="Style 53" xfId="1832" xr:uid="{3196199F-5A13-4C02-9BD6-0292B6598580}"/>
    <cellStyle name="Style 54" xfId="1833" xr:uid="{E214A504-99D2-4B35-9FCE-D01C06914D4E}"/>
    <cellStyle name="Style 55" xfId="1834" xr:uid="{846F5253-9489-4119-B1FF-8AD34F83C7D5}"/>
    <cellStyle name="Style 56" xfId="1835" xr:uid="{B50414E9-C535-4235-8B64-466A9DFD653B}"/>
    <cellStyle name="Style 57" xfId="1836" xr:uid="{31501FA1-1394-45BE-AE8A-24993921A5C1}"/>
    <cellStyle name="Style 58" xfId="1837" xr:uid="{2808162B-8EEE-43F2-8D03-856C22E3F3DC}"/>
    <cellStyle name="Style 59" xfId="1838" xr:uid="{67D30983-3BB4-41BF-909E-4C78D86053F3}"/>
    <cellStyle name="Style 6" xfId="1839" xr:uid="{FB2ABCE5-9032-4E7A-B325-BABCE207D30C}"/>
    <cellStyle name="Style 6 2" xfId="1840" xr:uid="{A8EFBA64-3D82-42CD-8B49-6C67242337E1}"/>
    <cellStyle name="Style 6_Sheet1" xfId="1841" xr:uid="{2503855C-4E17-4DCA-BA7D-709C58EE2751}"/>
    <cellStyle name="Style 60" xfId="1842" xr:uid="{2AF61129-AA74-4AC7-91ED-A272EBAFFD38}"/>
    <cellStyle name="Style 7" xfId="1843" xr:uid="{B5D4559D-EA56-442F-9AC7-87BA318ACF6B}"/>
    <cellStyle name="Style 7 2" xfId="1844" xr:uid="{92AC9595-1B1D-4342-85C9-A3644C968F8D}"/>
    <cellStyle name="Style 7_Sheet1" xfId="1845" xr:uid="{D048901E-6D9B-4AE2-B851-216013D7B3D4}"/>
    <cellStyle name="Style 8" xfId="1846" xr:uid="{58734A9B-98F2-4930-8B68-25024CB5E4E4}"/>
    <cellStyle name="Style 8 2" xfId="1847" xr:uid="{8F7D7885-D016-47F2-95DC-8DAC261EC00A}"/>
    <cellStyle name="Style 8_Sheet1" xfId="1848" xr:uid="{4B9F3361-C51B-478A-B34D-9EBC339B23E5}"/>
    <cellStyle name="Style 9" xfId="1849" xr:uid="{8C45D3F0-0552-4713-9C44-4BEB10A28827}"/>
    <cellStyle name="Style 9 2" xfId="1850" xr:uid="{8F229AA1-E8FD-4A1E-B11A-F8486498A9C1}"/>
    <cellStyle name="Style 9_Sheet1" xfId="1851" xr:uid="{65DFF6A4-CB22-4965-B9F9-B5FE6E38FC00}"/>
    <cellStyle name="Style1" xfId="1852" xr:uid="{7818DB03-253F-4AB3-8848-3EC7D55E6310}"/>
    <cellStyle name="STYLE1 - Style1" xfId="1853" xr:uid="{56C6FA6A-B6EB-46BC-AE34-19B5A1F749B5}"/>
    <cellStyle name="STYLE1 - Style1 2" xfId="1854" xr:uid="{9E97185B-899E-4897-B7B3-F88ACE247EED}"/>
    <cellStyle name="STYLE1 - Style1_Sheet1" xfId="1855" xr:uid="{CDA613DB-9384-4402-AEFA-8E8F79414813}"/>
    <cellStyle name="Style2" xfId="1856" xr:uid="{8E52E900-7433-44EA-BA4C-99F429D5A957}"/>
    <cellStyle name="STYLE2 - Style2" xfId="1857" xr:uid="{F8D8A07C-9E84-4FC4-9EC1-23D64FA55EAC}"/>
    <cellStyle name="STYLE2 - Style2 2" xfId="1858" xr:uid="{029B470B-A2E3-4705-9D38-83ECAB46360C}"/>
    <cellStyle name="STYLE2 - Style2_Sheet1" xfId="1859" xr:uid="{68997A4F-C483-4A11-A220-7783EE46022E}"/>
    <cellStyle name="Style3" xfId="1860" xr:uid="{998B8101-5277-4AC9-8144-D93B793D1581}"/>
    <cellStyle name="STYLE3 - Style3" xfId="1861" xr:uid="{2F0118AA-3749-4CAC-AF0D-FD1FC5E5A912}"/>
    <cellStyle name="STYLE3 - Style3 2" xfId="1862" xr:uid="{571E44EC-2225-42EF-A20F-CDA5B5A5A8E6}"/>
    <cellStyle name="STYLE3 - Style3_Sheet1" xfId="1863" xr:uid="{256770C9-251A-4768-95DB-D4DDC487B030}"/>
    <cellStyle name="Style4" xfId="1864" xr:uid="{A1D50554-D6DA-4E35-9B0C-153BF2E1AD8B}"/>
    <cellStyle name="STYLE4 - Style4" xfId="1865" xr:uid="{E4199333-0FB9-432C-A817-97835E3CB2D0}"/>
    <cellStyle name="STYLE4 - Style4 2" xfId="1866" xr:uid="{4EBF7E06-A8AE-415E-A052-5DDDC2CABDE7}"/>
    <cellStyle name="STYLE4 - Style4_Sheet1" xfId="1867" xr:uid="{BC9FC6DD-06F3-4CD2-A566-1B03907B38F6}"/>
    <cellStyle name="Style5" xfId="1868" xr:uid="{6037F9DB-4750-4536-B647-FD5EC951EDD3}"/>
    <cellStyle name="Subtitle" xfId="1869" xr:uid="{D5D8AC28-46F6-48CA-9746-1442EA36F3F6}"/>
    <cellStyle name="Subtitle 2" xfId="1870" xr:uid="{D2016FC6-7968-4504-9549-A85938D79223}"/>
    <cellStyle name="Subtitle_Sheet1" xfId="1871" xr:uid="{F4683AC7-154C-4A43-86DE-19CA810EC4BD}"/>
    <cellStyle name="swpBody01" xfId="1872" xr:uid="{276A2194-04EB-480B-9777-E024D9BE90DA}"/>
    <cellStyle name="swpBody01 2" xfId="2042" xr:uid="{B6C589C4-6FAC-4CFC-B8AD-7E9264C068E8}"/>
    <cellStyle name="swpBodyFirstCol" xfId="1873" xr:uid="{5BA84A05-D48D-47BF-A4A5-F97D86281455}"/>
    <cellStyle name="swpBodyFirstCol 2" xfId="2041" xr:uid="{94D22C93-3453-49D1-9003-4080833FA436}"/>
    <cellStyle name="swpCaption" xfId="1874" xr:uid="{95CE56E9-3B99-42E7-8270-EE9BAF9E5AA7}"/>
    <cellStyle name="swpClear" xfId="1875" xr:uid="{4C577644-7F19-44BB-AA24-600496C74A1B}"/>
    <cellStyle name="swpClear 2" xfId="1876" xr:uid="{9A9D75A5-66DF-48ED-91A8-FB6E18A25401}"/>
    <cellStyle name="swpHBBookTitle" xfId="1877" xr:uid="{2C930F61-8ABB-45B5-B9BB-4E8C0A841880}"/>
    <cellStyle name="swpHBChapterTitle" xfId="1878" xr:uid="{B573B4D0-519C-44AB-AC99-37F5C88103CA}"/>
    <cellStyle name="swpHead01" xfId="1879" xr:uid="{048131C2-5C1A-4EC7-8DDD-0A97CD35FAAA}"/>
    <cellStyle name="swpHead01R" xfId="1880" xr:uid="{9461A3C1-74D9-44B3-9FF1-E76623999EA1}"/>
    <cellStyle name="swpHead02" xfId="1881" xr:uid="{EFC64DBC-1F4A-4D02-AB7E-6AF79BB9CCC6}"/>
    <cellStyle name="swpHead02R" xfId="1882" xr:uid="{D6A6D9AD-5A4A-4BE7-8CB1-B981EB47CD69}"/>
    <cellStyle name="swpHead03" xfId="1883" xr:uid="{9696F597-E192-4FFC-B7FD-AC94CA47DF4B}"/>
    <cellStyle name="swpHead03R" xfId="1884" xr:uid="{86E72A77-1FD4-45D1-8510-9E4A214CF245}"/>
    <cellStyle name="swpHeadBraL" xfId="1885" xr:uid="{289F8604-2E65-4154-A797-597B94A7D93D}"/>
    <cellStyle name="swpHeadBraL 2" xfId="1886" xr:uid="{DC61541E-89AC-4662-8577-B237E1AB95D9}"/>
    <cellStyle name="swpHeadBraL 2 2" xfId="2039" xr:uid="{0A4803F9-4D96-4F70-B985-1071E240225A}"/>
    <cellStyle name="swpHeadBraL 3" xfId="2040" xr:uid="{BB75EDC4-015E-413D-9C28-B5627E4D3665}"/>
    <cellStyle name="swpHeadBraL_NAVs-SM" xfId="1887" xr:uid="{68ED4EA4-8AF8-4EB4-9C71-069D90D0DDE5}"/>
    <cellStyle name="swpHeadBraM" xfId="1888" xr:uid="{DA10EACC-E98F-4137-B3DD-1799378CDAE7}"/>
    <cellStyle name="swpHeadBraM 2" xfId="1889" xr:uid="{F6EB1B5B-4FC6-4B88-A91F-61D28B02A978}"/>
    <cellStyle name="swpHeadBraM 2 2" xfId="2038" xr:uid="{A08DF363-B4BB-4748-A15A-F9F261EE6279}"/>
    <cellStyle name="swpHeadBraM 3" xfId="2106" xr:uid="{4A040A42-5830-4102-A844-D63A86726462}"/>
    <cellStyle name="swpHeadBraM_NAVs-SM" xfId="1890" xr:uid="{F267D3EA-CE1D-4989-A9BF-4CDB9112E85F}"/>
    <cellStyle name="swpHeadBraR" xfId="1891" xr:uid="{CBA68784-56EF-484E-A6F7-4AAAA51F6D3F}"/>
    <cellStyle name="swpHeadBraR 2" xfId="1892" xr:uid="{125F33C0-83B9-4075-AFBB-2B5975F6FF33}"/>
    <cellStyle name="swpHeadBraR 2 2" xfId="2053" xr:uid="{62388FBC-DFAF-4E6E-80F4-5660BE77502E}"/>
    <cellStyle name="swpHeadBraR 3" xfId="2054" xr:uid="{329CD9C5-DD95-4FBD-99DA-9AE19D65D11E}"/>
    <cellStyle name="swpHeadBraR_NAVs-SM" xfId="1893" xr:uid="{4311852A-171E-4C44-B850-602E7BBD3859}"/>
    <cellStyle name="swpTag" xfId="1894" xr:uid="{4522A9E8-3351-4B76-8D89-BE91DC57673A}"/>
    <cellStyle name="swpTotals" xfId="1895" xr:uid="{22910DC3-EBB9-435A-AD14-E8CC0E29B813}"/>
    <cellStyle name="swpTotalsNo" xfId="1896" xr:uid="{0903F18F-7690-4F7B-B627-1186EF824B5D}"/>
    <cellStyle name="swpTotalsTotal" xfId="1897" xr:uid="{E160FA44-0F6C-42CC-889F-14E1FC26E74D}"/>
    <cellStyle name="Table  - Style5" xfId="1898" xr:uid="{EC19319D-1951-4F19-954E-1B9F5D0E62EB}"/>
    <cellStyle name="Table 10 (Col Numbers)" xfId="1899" xr:uid="{DA0A3B03-755C-4BD5-9FAD-6C6F5F29CC44}"/>
    <cellStyle name="Table 10-10" xfId="1900" xr:uid="{4E545B0A-4901-4A87-842B-A39DE1FF0AE3}"/>
    <cellStyle name="Table 10-2" xfId="1901" xr:uid="{C955BBFE-3B8A-409B-9649-EC4BB14140ED}"/>
    <cellStyle name="Table 11-10" xfId="1902" xr:uid="{F7C5EF61-01B5-49AC-A424-94EFF25CF1B8}"/>
    <cellStyle name="Table 11-12" xfId="1903" xr:uid="{EDD901E4-EA9E-4A7D-B1F6-12D5E788F38F}"/>
    <cellStyle name="Table 11-2" xfId="1904" xr:uid="{DE4C98A6-247C-44CA-B74E-A6838284B8CF}"/>
    <cellStyle name="Table 11-4" xfId="1905" xr:uid="{DA9A7ADF-296B-4772-A6BB-E834F49F4354}"/>
    <cellStyle name="Table 11-6" xfId="1906" xr:uid="{414C92E6-CE3A-4B28-A282-5FB3AFC229FD}"/>
    <cellStyle name="Table 11-8" xfId="1907" xr:uid="{2D7A2B9D-6D60-48A2-917E-BC92F6548497}"/>
    <cellStyle name="Table Col Head" xfId="1908" xr:uid="{C48D1E7C-1B5D-4A47-B2D3-E896C7F8532B}"/>
    <cellStyle name="Table Head" xfId="1909" xr:uid="{5F53ED28-BE6C-45AE-99C7-9D241F2ED76B}"/>
    <cellStyle name="Table Head 10" xfId="1910" xr:uid="{D6698D8A-D4A3-42B9-8B76-C3B1E4E9B092}"/>
    <cellStyle name="Table Head Aligned" xfId="1911" xr:uid="{D5ABE69F-B8E9-4683-B1DD-D7EA7B43C43A}"/>
    <cellStyle name="Table Head Blue" xfId="1912" xr:uid="{DA0682EE-92BD-464E-B9A8-0875B7D75A58}"/>
    <cellStyle name="Table Head Green" xfId="1913" xr:uid="{42BBD5B4-334E-4BD1-B515-2ABBC528F71C}"/>
    <cellStyle name="Table Heading" xfId="1914" xr:uid="{1C20285D-5455-4EF8-8701-1594CA8CE497}"/>
    <cellStyle name="Table Sub Head" xfId="1915" xr:uid="{141C8397-9D21-4416-A82A-214B0CF845F8}"/>
    <cellStyle name="Table Text 10" xfId="1916" xr:uid="{5F1E77E4-7084-4FDE-8612-14E1181061D0}"/>
    <cellStyle name="Table Title" xfId="1917" xr:uid="{405DCAFE-2943-4E29-90B4-E0003E6B7A59}"/>
    <cellStyle name="Table Units" xfId="1918" xr:uid="{3F5D3F75-5C2A-4804-B724-7243480B5B16}"/>
    <cellStyle name="Text Indent A" xfId="1919" xr:uid="{0D958627-2684-4EB9-9DAA-543A7BCE1AA6}"/>
    <cellStyle name="Text Indent B" xfId="1920" xr:uid="{A1FE905E-8552-4D88-9D7F-6F8FF8553A8B}"/>
    <cellStyle name="Text Indent C" xfId="1921" xr:uid="{22E999D0-D0F4-41B4-B36F-7C7E802BC2E3}"/>
    <cellStyle name="Text Indent C 2" xfId="1922" xr:uid="{B191450F-A62B-4D19-89EA-A6F7687DE1EE}"/>
    <cellStyle name="Text Indent C_Sheet1" xfId="1923" xr:uid="{D2D9B8EB-CFFA-4B5E-9F08-4E0372646029}"/>
    <cellStyle name="Text Wrap" xfId="1924" xr:uid="{39841593-9C97-4030-A235-D1FFAE9BA826}"/>
    <cellStyle name="theta" xfId="1925" xr:uid="{C5FE1695-60BE-4364-8927-CCE676501E5B}"/>
    <cellStyle name="Title  - Style6" xfId="1926" xr:uid="{2CF3D66C-3CF3-4DF8-A509-ABE64F24C377}"/>
    <cellStyle name="Title 2" xfId="1927" xr:uid="{B05C43F8-6761-44CB-827B-9F39976ADDD7}"/>
    <cellStyle name="Titles_Avg_BS " xfId="1928" xr:uid="{DCCF68A9-0EC9-4F8C-952C-F79BEF05BA00}"/>
    <cellStyle name="TOCPageNumber" xfId="1929" xr:uid="{55F986F7-3C54-40B9-9446-F89A5A5B3686}"/>
    <cellStyle name="TOCPageNumHeader" xfId="1930" xr:uid="{D17C98C1-AA9C-465F-99A9-F6A18BAEDC75}"/>
    <cellStyle name="TOCSectionHeader" xfId="1931" xr:uid="{A9F96FF6-4CE6-4179-9542-D6E025AFCAFB}"/>
    <cellStyle name="TotalNumbers_Avg_BS " xfId="1932" xr:uid="{66C384FD-F325-420F-94DD-659DBCA898B6}"/>
    <cellStyle name="TotCol - Style7" xfId="1933" xr:uid="{F8081946-9B59-4C70-853A-E1C1CDF22D26}"/>
    <cellStyle name="TotRow - Style8" xfId="1934" xr:uid="{8CEE2CC5-F20C-446A-824E-E705528ACEF7}"/>
    <cellStyle name="TradeScheduleColHdrStyle" xfId="1935" xr:uid="{4C8338A3-821C-4967-B0C6-8518802AAE6D}"/>
    <cellStyle name="TradeScheduleDataStyle" xfId="1936" xr:uid="{28E729EA-450A-4248-A260-CC099119C066}"/>
    <cellStyle name="TradeScheduleHdrStyle" xfId="1937" xr:uid="{228BECA6-A680-4B6E-BA30-993B19A7CF26}"/>
    <cellStyle name="TradeSchedulePercentStyle" xfId="1938" xr:uid="{725ACEB6-3D6C-403D-89A8-F4632E0E3B62}"/>
    <cellStyle name="underlineHeading_Avg_BS " xfId="1939" xr:uid="{7CEA9EC6-1A86-439F-B55E-DEC8AC58A336}"/>
    <cellStyle name="Valuta [0]_Fees &amp; Expenses" xfId="1940" xr:uid="{C5047BBF-10DB-462B-B099-AEE663FFA24E}"/>
    <cellStyle name="Valuta_Fees &amp; Expenses" xfId="1941" xr:uid="{252E20D4-E698-4920-B5B4-933551CB9099}"/>
    <cellStyle name="vega" xfId="1942" xr:uid="{1FE0E817-403F-4E1E-A02B-14FCBEBAF36D}"/>
    <cellStyle name="Vol" xfId="1943" xr:uid="{869FF605-064E-4E5E-B074-838ED0798C96}"/>
    <cellStyle name="Währung [0]_Compiling Utility Macros" xfId="1944" xr:uid="{1E0F5043-C0C0-44D4-8523-CDBA0BE2F6A3}"/>
    <cellStyle name="Währung_Compiling Utility Macros" xfId="1945" xr:uid="{561DEE49-A1BA-49CE-8461-A5EAA09043D8}"/>
    <cellStyle name="Y2K Compliant Date Fmt" xfId="1946" xr:uid="{93D5AB02-1A7F-487A-88DE-243B22FC7969}"/>
    <cellStyle name="Year" xfId="1947" xr:uid="{F80A0061-9A55-4D1E-B561-CF222AF08C43}"/>
    <cellStyle name="スタイル 1" xfId="13" xr:uid="{3068E1DC-D330-49B9-95A1-A7A8FCBFFAFD}"/>
    <cellStyle name="一般_030129_CEI_FinBureau" xfId="1948" xr:uid="{774EB00B-70EC-469A-BC45-61513E7825BE}"/>
    <cellStyle name="桁区切り 2" xfId="14" xr:uid="{2385A729-E6DE-4E30-9923-86270702CD1D}"/>
    <cellStyle name="桁区切り 3" xfId="15" xr:uid="{D409E29D-3C65-45DE-84E5-41F96510CB92}"/>
    <cellStyle name="標準 2" xfId="16" xr:uid="{AD02A136-3DF8-4E6F-A049-1252A57AFA18}"/>
    <cellStyle name="標準_【確定】VAI・VAE運行管理05-07-31" xfId="18" xr:uid="{A33F573B-4B50-4389-9A1C-7EDD2D560A5C}"/>
  </cellStyles>
  <dxfs count="81">
    <dxf>
      <numFmt numFmtId="35" formatCode="_-* #,##0.00_-;\-* #,##0.00_-;_-* &quot;-&quot;??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212" formatCode="_(* #,##0.00_);_(* \(#,##0.00\);_(* &quot;-&quot;??_);_(@_)"/>
    </dxf>
    <dxf>
      <numFmt numFmtId="212" formatCode="_(* #,##0.00_);_(* \(#,##0.00\);_(* &quot;-&quot;??_);_(@_)"/>
    </dxf>
    <dxf>
      <numFmt numFmtId="212" formatCode="_(* #,##0.00_);_(* \(#,##0.00\);_(* &quot;-&quot;??_);_(@_)"/>
    </dxf>
    <dxf>
      <numFmt numFmtId="211" formatCode="_(* #,##0.000_);_(* \(#,##0.000\);_(* &quot;-&quot;???_);_(@_)"/>
    </dxf>
    <dxf>
      <numFmt numFmtId="0" formatCode="General"/>
    </dxf>
    <dxf>
      <numFmt numFmtId="0" formatCode="General"/>
    </dxf>
    <dxf>
      <numFmt numFmtId="0" formatCode="General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1581150</xdr:colOff>
          <xdr:row>11</xdr:row>
          <xdr:rowOff>19050</xdr:rowOff>
        </xdr:from>
        <xdr:to>
          <xdr:col>28</xdr:col>
          <xdr:colOff>647700</xdr:colOff>
          <xdr:row>13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4253\Desktop\Stellar%20Class\3.27session.xlsx" TargetMode="External"/><Relationship Id="rId1" Type="http://schemas.openxmlformats.org/officeDocument/2006/relationships/externalLinkPath" Target="3.27ses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OOMBERG RATE"/>
      <sheetName val="REVERSE REPO"/>
      <sheetName val="Trading Book"/>
      <sheetName val="INTERPOLATED RATE(2)"/>
      <sheetName val="Funding Cost"/>
      <sheetName val="INTERPOLATED RATE"/>
      <sheetName val="SUMMARY"/>
      <sheetName val="Holiday List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>
            <v>45289</v>
          </cell>
        </row>
      </sheetData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917E92-B28A-45EB-BFEE-83C231E9B4A2}" name="Table1" displayName="Table1" ref="A1:BF2" totalsRowShown="0" headerRowDxfId="80" headerRowBorderDxfId="79" tableBorderDxfId="78" totalsRowBorderDxfId="77" headerRowCellStyle="Normal_Sheet1" dataCellStyle="Normal 76">
  <autoFilter ref="A1:BF2" xr:uid="{A2917E92-B28A-45EB-BFEE-83C231E9B4A2}"/>
  <tableColumns count="58">
    <tableColumn id="1" xr3:uid="{790C2AE8-9036-4999-B0DC-121DBCF519C1}" name="Date" dataDxfId="76" dataCellStyle="Normal_Sheet1"/>
    <tableColumn id="2" xr3:uid="{6BD29224-7992-48C7-A862-036642D77A87}" name="USGG10YR Index" dataDxfId="75" dataCellStyle="Normal_Sheet1"/>
    <tableColumn id="3" xr3:uid="{313DC2EF-769D-4913-916D-9DAFBF1B03A5}" name="USGG7YR Index" dataDxfId="74" dataCellStyle="Normal_Sheet1"/>
    <tableColumn id="4" xr3:uid="{666D0805-4DB3-44E0-9421-8F9EC7DDD0C1}" name="USGG5YR Index" dataDxfId="73" dataCellStyle="Normal_Sheet1"/>
    <tableColumn id="5" xr3:uid="{E806C96C-A744-4C6D-A00A-9EB46AC00B3F}" name="USGG3YR Index" dataDxfId="72" dataCellStyle="Normal_Sheet1"/>
    <tableColumn id="6" xr3:uid="{AECE706C-CC42-485D-9079-F12C61DD85C2}" name="USGG2YR Index" dataDxfId="71" dataCellStyle="Normal_Sheet1"/>
    <tableColumn id="7" xr3:uid="{CABF9312-08F3-43DB-8D92-C729606500D7}" name="USGG12M Index" dataDxfId="70" dataCellStyle="Normal_Sheet1"/>
    <tableColumn id="8" xr3:uid="{F3858310-6DD6-48CA-9AB3-FCDB2AD37A17}" name="USGG6M Index" dataDxfId="69" dataCellStyle="Normal_Sheet1"/>
    <tableColumn id="9" xr3:uid="{009B6D51-61F8-458D-95B6-974814AAA8F9}" name="USGG3M Index" dataDxfId="68" dataCellStyle="Normal_Sheet1"/>
    <tableColumn id="10" xr3:uid="{13AFA421-7877-41FE-98C9-6D30F27EB53E}" name="USGG1M Index" dataDxfId="67" dataCellStyle="Normal_Sheet1"/>
    <tableColumn id="11" xr3:uid="{99599DF6-5ED5-4FA2-978D-4AC482E0ADEA}" name="VUS001Y Index" dataDxfId="66" dataCellStyle="Normal_Sheet1"/>
    <tableColumn id="12" xr3:uid="{9556F21F-3818-47CE-B6A0-1FB9B5C54FF3}" name="VUS0006M Index" dataDxfId="65" dataCellStyle="Normal_Sheet1"/>
    <tableColumn id="13" xr3:uid="{86A21D3D-BC14-4354-A947-10FB46A00468}" name="VUS0003M Index" dataDxfId="64" dataCellStyle="Normal_Sheet1"/>
    <tableColumn id="14" xr3:uid="{D07A3949-295B-44A6-B072-29EAC928F8B0}" name="VUS0002M Index" dataDxfId="63" dataCellStyle="Normal_Sheet1"/>
    <tableColumn id="15" xr3:uid="{669DFA1B-020E-40F1-9470-B65AD3312EA0}" name="VUS0001M Index" dataDxfId="62" dataCellStyle="Normal_Sheet1"/>
    <tableColumn id="16" xr3:uid="{4BDC1345-FD00-4BCC-86C4-091C4768181A}" name="VUS0001W Index" dataDxfId="61" dataCellStyle="Normal_Sheet1"/>
    <tableColumn id="17" xr3:uid="{0ECC8360-398B-4766-8A1C-E5F7390657A1}" name="VUS00ON Index" dataDxfId="60" dataCellStyle="Normal_Sheet1"/>
    <tableColumn id="18" xr3:uid="{43B6D624-272F-4F9A-B20D-3DFB17998D66}" name="VEE00ON Index" dataDxfId="59" dataCellStyle="Normal_Sheet1"/>
    <tableColumn id="19" xr3:uid="{17C20F5C-6116-40AF-AF65-85EB6B5E4776}" name="VEE0001M Index" dataDxfId="58" dataCellStyle="Normal_Sheet1"/>
    <tableColumn id="20" xr3:uid="{8ECB761D-F3F3-4FD2-93BB-C631C0C65444}" name="VEE0001W Index" dataDxfId="57" dataCellStyle="Normal_Sheet1"/>
    <tableColumn id="21" xr3:uid="{81DE8CCB-D7D8-411E-9E3E-CBE4360DDB63}" name="VEE0003M Index" dataDxfId="56" dataCellStyle="Normal_Sheet1"/>
    <tableColumn id="22" xr3:uid="{D6E2C317-CA6A-4EEB-AA4E-7899572EC5E5}" name="VEE0006M Index" dataDxfId="55" dataCellStyle="Normal_Sheet1"/>
    <tableColumn id="23" xr3:uid="{772A2847-F555-4CD5-9048-B479350B6AFE}" name="VEE001Y index" dataDxfId="54" dataCellStyle="Normal_Sheet1"/>
    <tableColumn id="24" xr3:uid="{BA475118-B8F3-4A84-986E-8E557E642323}" name="EURON Curncy" dataDxfId="53" dataCellStyle="Normal_Sheet1"/>
    <tableColumn id="25" xr3:uid="{EEC1C6D5-56AE-4262-9833-535D49BC9B1D}" name="EURTN Curncy" dataDxfId="52" dataCellStyle="Normal_Sheet1"/>
    <tableColumn id="26" xr3:uid="{C6E9CD5A-16A1-4B18-A1D3-3EF8D4358415}" name="EURSN Curncy" dataDxfId="51" dataCellStyle="Normal_Sheet1"/>
    <tableColumn id="27" xr3:uid="{FAB33007-B28B-4BC3-AB67-A854A7B54428}" name="EUR1W Curncy" dataDxfId="50" dataCellStyle="Normal_Sheet1"/>
    <tableColumn id="28" xr3:uid="{4AD78968-E0C2-4EAC-BE89-576BD39275E5}" name="EUR2W Curncy" dataDxfId="49" dataCellStyle="Normal_Sheet1"/>
    <tableColumn id="29" xr3:uid="{8E77825E-51B7-462F-A58B-CA8222F82D04}" name="EUR3W Curncy" dataDxfId="48" dataCellStyle="Normal_Sheet1"/>
    <tableColumn id="30" xr3:uid="{D1BDF097-5669-4DF8-9725-A9AA1E3B4EAB}" name="EUR1M Curncy" dataDxfId="47" dataCellStyle="Normal_Sheet1"/>
    <tableColumn id="31" xr3:uid="{CFD97DB3-C3C8-436E-80FD-098AE0DA9EE8}" name="EUR2M Curncy" dataDxfId="46" dataCellStyle="Normal_Sheet1"/>
    <tableColumn id="32" xr3:uid="{A77DB96E-55B6-4029-86D0-FA2DAEE98181}" name="EUR3M Curncy" dataDxfId="45" dataCellStyle="Normal_Sheet1"/>
    <tableColumn id="33" xr3:uid="{F008028E-4C90-4FF5-8D6E-E82558A4C873}" name="USRGCY1T Curncy" dataDxfId="44" dataCellStyle="Normal 76"/>
    <tableColumn id="34" xr3:uid="{4B9E1E8C-1C6D-4719-89D3-22D0EC2F13C6}" name="USRGCY1Z Curncy" dataDxfId="43" dataCellStyle="Normal 76"/>
    <tableColumn id="35" xr3:uid="{B399A020-F18A-4199-A039-ECAF68CEE5C0}" name="USRGCY2Z Curncy" dataDxfId="42" dataCellStyle="Normal 76"/>
    <tableColumn id="36" xr3:uid="{971FFEA0-E2E8-4D57-B6BC-A768832EEE30}" name="USRGCY3Z Curncy" dataDxfId="41" dataCellStyle="Normal 76"/>
    <tableColumn id="37" xr3:uid="{2A71F4A4-3910-46D1-8D46-801BF3229307}" name="USRGCYA Curncy" dataDxfId="40" dataCellStyle="Normal 76"/>
    <tableColumn id="38" xr3:uid="{E63AA558-232F-41C3-A290-D881949AFAD2}" name="USRGCYB Curncy" dataDxfId="39" dataCellStyle="Normal 76"/>
    <tableColumn id="39" xr3:uid="{E54AFBAB-D9ED-476E-BE7F-5FF25592C38E}" name="USRGCYC Curncy" dataDxfId="38" dataCellStyle="Normal 76"/>
    <tableColumn id="40" xr3:uid="{E199C864-B386-4478-9D17-E551EDD82E87}" name="USRG1T Curncy" dataDxfId="37" dataCellStyle="Normal 76"/>
    <tableColumn id="41" xr3:uid="{D2E48C8D-B7E8-44D0-83A2-33D6FC5279A2}" name="USRGCGA Curncy" dataDxfId="36" dataCellStyle="Normal 76"/>
    <tableColumn id="42" xr3:uid="{5B2AAABA-C8BD-4765-86CA-A1D8BA444000}" name="USRGCG2Z Curncy" dataDxfId="35" dataCellStyle="Normal 76"/>
    <tableColumn id="43" xr3:uid="{37228056-810F-4152-9399-19D16774041D}" name="USRGCYC Curncy2" dataDxfId="34" dataCellStyle="Normal 76"/>
    <tableColumn id="44" xr3:uid="{1B686D81-0D55-472E-A511-9C4032048641}" name="USRGCGB Curncy" dataDxfId="33" dataCellStyle="Normal 76"/>
    <tableColumn id="45" xr3:uid="{B7E7BC74-1076-444D-98A9-5E1B3EA4E2C8}" name="USRGCGF Curncy" dataDxfId="32" dataCellStyle="Normal 76"/>
    <tableColumn id="46" xr3:uid="{423765E5-6A58-48E8-A30D-3837B5344C70}" name="TSFR1M Index" dataDxfId="31" dataCellStyle="Normal 76"/>
    <tableColumn id="47" xr3:uid="{596C269C-A584-4C4B-9128-B5B9ED107E6C}" name="TSFR3M Index" dataDxfId="30" dataCellStyle="Normal 76"/>
    <tableColumn id="48" xr3:uid="{73E83227-47C8-4443-B061-208108A4E691}" name="TSFR6M Index" dataDxfId="29" dataCellStyle="Normal 76"/>
    <tableColumn id="49" xr3:uid="{9DD964BF-207F-45D0-A114-008759E860BB}" name="TSFR12M Index" dataDxfId="28" dataCellStyle="Normal 76"/>
    <tableColumn id="50" xr3:uid="{C7C90FCA-7053-4AC7-A5A7-0A2390A1167E}" name="SOFRRATE Index" dataDxfId="27" dataCellStyle="Normal 76"/>
    <tableColumn id="51" xr3:uid="{E4BC223D-CB40-43D3-89C2-F31DC89FB2B0}" name="OBFR01 Index" dataDxfId="26" dataCellStyle="Normal 76"/>
    <tableColumn id="52" xr3:uid="{CFFA7D20-B354-47F8-BFC2-70A12A85DEA2}" name="FEDL01 Index" dataDxfId="25" dataCellStyle="Normal 76"/>
    <tableColumn id="53" xr3:uid="{60E2F979-245A-42CB-A627-93099A7932B7}" name="FEDL02 Index" dataDxfId="24" dataCellStyle="Normal 76"/>
    <tableColumn id="54" xr3:uid="{6B0DF3B6-6E74-4CF0-929D-62A8E9F4BD0C}" name="YUS00ON Index" dataDxfId="23" dataCellStyle="Normal 76"/>
    <tableColumn id="55" xr3:uid="{AF4B5A92-136A-40E5-9CE1-A90DD73250DD}" name="YUS0001M Index" dataDxfId="22" dataCellStyle="Normal 76"/>
    <tableColumn id="56" xr3:uid="{0AD186E2-D2C4-4404-BE03-C902C60B2B6D}" name="YUS0003M Index" dataDxfId="21" dataCellStyle="Normal 76"/>
    <tableColumn id="57" xr3:uid="{D4F5D730-30EA-4907-BD6E-E34CA9630CF4}" name="YUS0006M Index" dataDxfId="20" dataCellStyle="Normal 76"/>
    <tableColumn id="58" xr3:uid="{08547B69-75BD-4EBA-BAAA-8952EA63EC9F}" name="YUS001Y Index" dataDxfId="19" dataCellStyle="Normal 7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336F0A-99EB-488C-B0FE-72B1979A110D}" name="Table2" displayName="Table2" ref="A2:AE9" totalsRowShown="0">
  <autoFilter ref="A2:AE9" xr:uid="{DA336F0A-99EB-488C-B0FE-72B1979A110D}"/>
  <tableColumns count="31">
    <tableColumn id="1" xr3:uid="{74817340-A5C1-42AE-A9AD-A4E8BEC7AD30}" name="As of Date" dataDxfId="18"/>
    <tableColumn id="2" xr3:uid="{D566F0E2-4730-40B9-910F-31A717BA12AD}" name="Account Name"/>
    <tableColumn id="3" xr3:uid="{7D4785DB-478F-4334-8923-8EB94F3928E6}" name="Counterparty Name"/>
    <tableColumn id="4" xr3:uid="{4D73FDA8-04E5-40AC-9203-6BCF72152F53}" name="Position ID"/>
    <tableColumn id="5" xr3:uid="{B30CE6DE-0A51-4453-B049-1741E5665C01}" name="Settlement Date" dataDxfId="17"/>
    <tableColumn id="6" xr3:uid="{4870E955-B9FD-4A2F-B73B-D648C3ACAEDE}" name="Term Date" dataDxfId="16"/>
    <tableColumn id="7" xr3:uid="{BA5E721E-E2A0-45EA-8C18-16C6235F086C}" name="Days to Maturity"/>
    <tableColumn id="8" xr3:uid="{259C25F8-80E8-4B76-B596-8C8DE420B644}" name="Rate Type"/>
    <tableColumn id="9" xr3:uid="{8009EB5A-0E7C-49A6-844A-F4C99F89C178}" name="Benchmark"/>
    <tableColumn id="10" xr3:uid="{6661D0CA-2091-41B3-8504-176ED05A784D}" name="Investment Yield"/>
    <tableColumn id="11" xr3:uid="{FB169CEF-FA6B-4D5C-BD36-A6857DAD22B2}" name="Accrued Interest"/>
    <tableColumn id="12" xr3:uid="{8AF557F0-1306-48A8-9C69-135193BEBAF3}" name="Trade Ccy"/>
    <tableColumn id="13" xr3:uid="{498C03B9-0589-425D-A25E-7B8A646B628A}" name="Nominal"/>
    <tableColumn id="14" xr3:uid="{AD497926-8C0E-44BA-BFD9-2042CBA1EB56}" name="Code Concatenate" dataDxfId="15">
      <calculatedColumnFormula>Table2[[#This Row],[As of Date]]&amp;Table2[[#This Row],[Position ID]]&amp;Table2[[#This Row],[Investment Yield]]&amp;Table2[[#This Row],[Nominal]]</calculatedColumnFormula>
    </tableColumn>
    <tableColumn id="15" xr3:uid="{8EBC14C2-4F57-4921-941B-CAA5E1F1D17B}" name="Code Concatenate 2" dataDxfId="14">
      <calculatedColumnFormula>Table2[[#This Row],[Code Concatenate]]&amp;Table2[[#This Row],[As of Date]]</calculatedColumnFormula>
    </tableColumn>
    <tableColumn id="16" xr3:uid="{196B6D2D-E612-49C9-8ED4-537E4BE8EDEB}" name="If Expired" dataDxfId="13">
      <calculatedColumnFormula>IF(SUMMARY!$B$1&gt;Table2[[#This Row],[As of Date]],"YES","NO")</calculatedColumnFormula>
    </tableColumn>
    <tableColumn id="17" xr3:uid="{BFD44C7F-E2D9-4619-A7D4-4CB03F0D7B48}" name="Total expected Interest  on reverse repo" dataDxfId="12">
      <calculatedColumnFormula>(J3%*M3)*((F3-E3)/360)</calculatedColumnFormula>
    </tableColumn>
    <tableColumn id="18" xr3:uid="{909A6C4C-4AC4-4F2F-825B-D88C99C35F4B}" name="Open reverse repos" dataDxfId="11">
      <calculatedColumnFormula>IF(SUMMARY!B1&lt;=A3,M3,0)</calculatedColumnFormula>
    </tableColumn>
    <tableColumn id="19" xr3:uid="{D3DB373D-41AC-41DA-A799-5C83F4E6A845}" name="Original maturity" dataDxfId="10"/>
    <tableColumn id="20" xr3:uid="{EDC78B6A-BB13-497A-82A0-D3141E257D3E}" name="Remaining days" dataDxfId="9">
      <calculatedColumnFormula>IF(SUMMARY!$B$1&gt;A3,0,F3-SUMMARY!$B$1)</calculatedColumnFormula>
    </tableColumn>
    <tableColumn id="21" xr3:uid="{2E85FC0D-19EC-4558-BA91-2BEFA6EF7600}" name="Duration" dataCellStyle="Comma">
      <calculatedColumnFormula>Table2[[#This Row],[Remaining days]]/360</calculatedColumnFormula>
    </tableColumn>
    <tableColumn id="22" xr3:uid="{2C95186D-85CE-4C22-BF18-FEB3497D2C1D}" name="1bpv" dataDxfId="1">
      <calculatedColumnFormula>Table2[[#This Row],[Duration]]*Table2[[#This Row],[Open reverse repos]]/10000</calculatedColumnFormula>
    </tableColumn>
    <tableColumn id="23" xr3:uid="{57900582-02FD-4CFA-8E4E-2A2D0B0BE580}" name="100bpv" dataDxfId="0">
      <calculatedColumnFormula>Table2[[#This Row],[Duration]]*Table2[[#This Row],[Open reverse repos]]/100</calculatedColumnFormula>
    </tableColumn>
    <tableColumn id="24" xr3:uid="{DB70C287-482A-4D64-AE4E-4F0ADED37260}" name="Interpolated rate for maturity date" dataDxfId="8">
      <calculatedColumnFormula>IF(A3&gt;=SUMMARY!B1,VLOOKUP(F3,'INTERPOLATED RATE(2)'!Q:U,5,0),0)</calculatedColumnFormula>
    </tableColumn>
    <tableColumn id="25" xr3:uid="{A3DF6666-E57F-427D-B3CA-17642573E732}" name="Yield Diff" dataDxfId="7">
      <calculatedColumnFormula>IF(A3&gt;=SUMMARY!B1,(J3/100)-X3,0)</calculatedColumnFormula>
    </tableColumn>
    <tableColumn id="26" xr3:uid="{A683AA21-81B9-47A0-8B66-D7E9C7C2C0F9}" name="Unrealized value (For remaining period to Maturity) " dataDxfId="6">
      <calculatedColumnFormula>Y3*V3*10000</calculatedColumnFormula>
    </tableColumn>
    <tableColumn id="27" xr3:uid="{9169C6BE-3B4D-4EA8-9E5C-B18E38283368}" name="Unrealized P/L at the end of prior period (Half Yr)"/>
    <tableColumn id="28" xr3:uid="{7C0E99D7-146C-4A9D-8AF9-821C05352544}" name="Change in unrealized value" dataDxfId="5">
      <calculatedColumnFormula>Table2[[#This Row],[Unrealized value (For remaining period to Maturity) ]]+Table2[[#This Row],[Unrealized P/L at the end of prior period (Half Yr)]]</calculatedColumnFormula>
    </tableColumn>
    <tableColumn id="29" xr3:uid="{F348C1AB-8DFE-4B19-B2B5-E439B190CFE1}" name="Income Calculation days" dataDxfId="2">
      <calculatedColumnFormula>NETWORKDAYS(Table2[[#This Row],[Settlement Date]],Table2[[#This Row],[As of Date]],Holiday!A2:A13)</calculatedColumnFormula>
    </tableColumn>
    <tableColumn id="32" xr3:uid="{8DE455BD-5B6A-462E-A58C-F21730BE739C}" name="Income earned  (Period to date)" dataDxfId="4">
      <calculatedColumnFormula>IF(AC3="",0,AC3/360*J3%*M3)</calculatedColumnFormula>
    </tableColumn>
    <tableColumn id="33" xr3:uid="{564A9062-8B20-4C28-9889-E2F68088181B}" name="Income + Change in unrealized value" dataDxfId="3">
      <calculatedColumnFormula>Table2[[#This Row],[Income earned  (Period to date)]]+Table2[[#This Row],[Change in unrealized value]]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"/>
  <sheetViews>
    <sheetView workbookViewId="0">
      <selection activeCell="I27" sqref="E2:I27"/>
    </sheetView>
  </sheetViews>
  <sheetFormatPr defaultRowHeight="15"/>
  <cols>
    <col min="1" max="1" width="10.42578125" bestFit="1" customWidth="1"/>
    <col min="2" max="2" width="18.140625" customWidth="1"/>
    <col min="3" max="6" width="17.140625" customWidth="1"/>
    <col min="7" max="7" width="17.7109375" customWidth="1"/>
    <col min="8" max="10" width="16.7109375" customWidth="1"/>
    <col min="11" max="11" width="16.42578125" customWidth="1"/>
    <col min="12" max="15" width="18.140625" customWidth="1"/>
    <col min="16" max="16" width="18.28515625" customWidth="1"/>
    <col min="17" max="17" width="17.140625" customWidth="1"/>
    <col min="18" max="18" width="16.7109375" customWidth="1"/>
    <col min="19" max="19" width="17.7109375" customWidth="1"/>
    <col min="20" max="20" width="17.85546875" customWidth="1"/>
    <col min="21" max="22" width="17.7109375" customWidth="1"/>
    <col min="23" max="24" width="16" customWidth="1"/>
    <col min="25" max="26" width="15.5703125" customWidth="1"/>
    <col min="27" max="29" width="16.140625" customWidth="1"/>
    <col min="30" max="32" width="16" customWidth="1"/>
    <col min="33" max="36" width="18.85546875" customWidth="1"/>
    <col min="37" max="37" width="18.140625" customWidth="1"/>
    <col min="38" max="39" width="18" customWidth="1"/>
    <col min="40" max="40" width="16.5703125" customWidth="1"/>
    <col min="41" max="41" width="18.42578125" customWidth="1"/>
    <col min="42" max="42" width="19.140625" customWidth="1"/>
    <col min="43" max="43" width="19" customWidth="1"/>
    <col min="44" max="44" width="18.28515625" customWidth="1"/>
    <col min="45" max="45" width="18.140625" customWidth="1"/>
    <col min="46" max="48" width="15.5703125" customWidth="1"/>
    <col min="49" max="49" width="16.5703125" customWidth="1"/>
    <col min="50" max="50" width="20.140625" bestFit="1" customWidth="1"/>
    <col min="51" max="51" width="15.28515625" customWidth="1"/>
    <col min="52" max="53" width="14.7109375" customWidth="1"/>
    <col min="54" max="54" width="17" customWidth="1"/>
    <col min="55" max="57" width="18" customWidth="1"/>
    <col min="58" max="58" width="16.28515625" customWidth="1"/>
  </cols>
  <sheetData>
    <row r="1" spans="1:58" s="7" customFormat="1">
      <c r="A1" s="10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  <c r="AQ1" s="9" t="s">
        <v>75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47</v>
      </c>
      <c r="AX1" s="9" t="s">
        <v>48</v>
      </c>
      <c r="AY1" s="9" t="s">
        <v>49</v>
      </c>
      <c r="AZ1" s="9" t="s">
        <v>50</v>
      </c>
      <c r="BA1" s="9" t="s">
        <v>51</v>
      </c>
      <c r="BB1" s="9" t="s">
        <v>52</v>
      </c>
      <c r="BC1" s="9" t="s">
        <v>53</v>
      </c>
      <c r="BD1" s="9" t="s">
        <v>54</v>
      </c>
      <c r="BE1" s="9" t="s">
        <v>55</v>
      </c>
      <c r="BF1" s="8" t="s">
        <v>56</v>
      </c>
    </row>
    <row r="2" spans="1:58">
      <c r="A2" s="6">
        <v>45289</v>
      </c>
      <c r="B2" s="13">
        <v>3.8791000000000002</v>
      </c>
      <c r="C2" s="13">
        <v>3.8812000000000002</v>
      </c>
      <c r="D2" s="13">
        <v>3.8471000000000002</v>
      </c>
      <c r="E2" s="13">
        <v>4.0087999999999999</v>
      </c>
      <c r="F2" s="13">
        <v>4.2499000000000002</v>
      </c>
      <c r="G2" s="13">
        <v>4.7622</v>
      </c>
      <c r="H2" s="13">
        <v>5.2462</v>
      </c>
      <c r="I2" s="13">
        <v>5.3323</v>
      </c>
      <c r="J2" s="13">
        <v>5.3978000000000002</v>
      </c>
      <c r="K2" s="13">
        <v>5.8422700000000001</v>
      </c>
      <c r="L2" s="13">
        <v>5.7741699999999998</v>
      </c>
      <c r="M2" s="13">
        <v>5.6171899999999999</v>
      </c>
      <c r="N2" s="13">
        <v>5.5337100000000001</v>
      </c>
      <c r="O2" s="13">
        <v>5.4589400000000001</v>
      </c>
      <c r="P2" s="13">
        <v>5.3858100000000002</v>
      </c>
      <c r="Q2" s="13">
        <v>5.4064399999999999</v>
      </c>
      <c r="R2" s="13">
        <v>3.9016999999999999</v>
      </c>
      <c r="S2" s="13">
        <v>3.9531999999999998</v>
      </c>
      <c r="T2" s="13">
        <v>3.9241999999999999</v>
      </c>
      <c r="U2" s="13">
        <v>4.0162000000000004</v>
      </c>
      <c r="V2" s="13">
        <v>3.9329000000000001</v>
      </c>
      <c r="W2" s="13">
        <v>3.5461999999999998</v>
      </c>
      <c r="X2" s="13" t="s">
        <v>57</v>
      </c>
      <c r="Y2" s="13" t="s">
        <v>58</v>
      </c>
      <c r="Z2" s="13" t="s">
        <v>59</v>
      </c>
      <c r="AA2" s="13" t="s">
        <v>60</v>
      </c>
      <c r="AB2" s="13" t="s">
        <v>61</v>
      </c>
      <c r="AC2" s="13" t="s">
        <v>62</v>
      </c>
      <c r="AD2" s="13" t="s">
        <v>63</v>
      </c>
      <c r="AE2" s="13" t="s">
        <v>64</v>
      </c>
      <c r="AF2" s="13" t="s">
        <v>65</v>
      </c>
      <c r="AG2" s="12" t="e">
        <v>#N/A</v>
      </c>
      <c r="AH2" s="12" t="e">
        <v>#N/A</v>
      </c>
      <c r="AI2" s="12" t="e">
        <v>#N/A</v>
      </c>
      <c r="AJ2" s="12" t="e">
        <v>#N/A</v>
      </c>
      <c r="AK2" s="12" t="e">
        <v>#N/A</v>
      </c>
      <c r="AL2" s="12" t="e">
        <v>#N/A</v>
      </c>
      <c r="AM2" s="12">
        <v>0</v>
      </c>
      <c r="AN2" s="12">
        <v>5.4219999999999997</v>
      </c>
      <c r="AO2" s="12">
        <v>5.5510000000000002</v>
      </c>
      <c r="AP2" s="12">
        <v>5.5170000000000003</v>
      </c>
      <c r="AQ2" s="12">
        <v>0</v>
      </c>
      <c r="AR2" s="12">
        <v>0</v>
      </c>
      <c r="AS2" s="12">
        <v>0</v>
      </c>
      <c r="AT2" s="12">
        <v>5.3547200000000004</v>
      </c>
      <c r="AU2" s="12">
        <v>5.3314000000000004</v>
      </c>
      <c r="AV2" s="12">
        <v>5.1577200000000003</v>
      </c>
      <c r="AW2" s="12">
        <v>4.7709799999999998</v>
      </c>
      <c r="AX2" s="12">
        <v>5.4</v>
      </c>
      <c r="AY2" s="12">
        <v>5.32</v>
      </c>
      <c r="AZ2" s="12">
        <v>5.33</v>
      </c>
      <c r="BA2" s="12">
        <v>5.33</v>
      </c>
      <c r="BB2" s="12">
        <v>6.4400000000000004E-3</v>
      </c>
      <c r="BC2" s="12">
        <v>0.11448</v>
      </c>
      <c r="BD2" s="12">
        <v>0.26161000000000001</v>
      </c>
      <c r="BE2" s="12">
        <v>0.42825999999999997</v>
      </c>
      <c r="BF2" s="11">
        <v>0.71513000000000004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C63AC-8000-4676-B0AD-AB7D04E9D1F7}">
  <sheetPr codeName="Sheet2"/>
  <dimension ref="A1:AE9"/>
  <sheetViews>
    <sheetView topLeftCell="Y1" workbookViewId="0">
      <selection activeCell="AB32" sqref="AB32"/>
    </sheetView>
  </sheetViews>
  <sheetFormatPr defaultRowHeight="15"/>
  <cols>
    <col min="1" max="1" width="23.7109375" style="2" customWidth="1"/>
    <col min="2" max="4" width="23.7109375" customWidth="1"/>
    <col min="5" max="6" width="23.7109375" style="2" customWidth="1"/>
    <col min="7" max="14" width="23.7109375" customWidth="1"/>
    <col min="15" max="15" width="31.28515625" bestFit="1" customWidth="1"/>
    <col min="16" max="16" width="23.7109375" customWidth="1"/>
    <col min="17" max="17" width="38.5703125" customWidth="1"/>
    <col min="18" max="23" width="23.7109375" customWidth="1"/>
    <col min="24" max="24" width="34.5703125" bestFit="1" customWidth="1"/>
    <col min="25" max="25" width="23.7109375" customWidth="1"/>
    <col min="26" max="26" width="49.42578125" customWidth="1"/>
    <col min="27" max="27" width="46.5703125" customWidth="1"/>
    <col min="28" max="28" width="27" customWidth="1"/>
    <col min="29" max="29" width="24.42578125" customWidth="1"/>
    <col min="30" max="30" width="31.28515625" customWidth="1"/>
    <col min="31" max="31" width="35.42578125" customWidth="1"/>
    <col min="32" max="42" width="23.7109375" customWidth="1"/>
  </cols>
  <sheetData>
    <row r="1" spans="1:31">
      <c r="AE1">
        <f>SUMIF(Table2[As of Date],SUMMARY!$B$1,Table2[Income + Change in unrealized value])</f>
        <v>2864408.6120710871</v>
      </c>
    </row>
    <row r="2" spans="1:31">
      <c r="A2" s="2" t="s">
        <v>88</v>
      </c>
      <c r="B2" t="s">
        <v>89</v>
      </c>
      <c r="C2" t="s">
        <v>90</v>
      </c>
      <c r="D2" t="s">
        <v>91</v>
      </c>
      <c r="E2" s="2" t="s">
        <v>92</v>
      </c>
      <c r="F2" s="2" t="s">
        <v>93</v>
      </c>
      <c r="G2" t="s">
        <v>94</v>
      </c>
      <c r="H2" t="s">
        <v>95</v>
      </c>
      <c r="I2" t="s">
        <v>96</v>
      </c>
      <c r="J2" t="s">
        <v>97</v>
      </c>
      <c r="K2" t="s">
        <v>98</v>
      </c>
      <c r="L2" t="s">
        <v>99</v>
      </c>
      <c r="M2" t="s">
        <v>100</v>
      </c>
      <c r="N2" t="s">
        <v>101</v>
      </c>
      <c r="O2" t="s">
        <v>102</v>
      </c>
      <c r="P2" t="s">
        <v>103</v>
      </c>
      <c r="Q2" t="s">
        <v>104</v>
      </c>
      <c r="R2" t="s">
        <v>105</v>
      </c>
      <c r="S2" t="s">
        <v>106</v>
      </c>
      <c r="T2" t="s">
        <v>107</v>
      </c>
      <c r="U2" t="s">
        <v>108</v>
      </c>
      <c r="V2" t="s">
        <v>109</v>
      </c>
      <c r="W2" t="s">
        <v>110</v>
      </c>
      <c r="X2" t="s">
        <v>111</v>
      </c>
      <c r="Y2" t="s">
        <v>112</v>
      </c>
      <c r="Z2" t="s">
        <v>113</v>
      </c>
      <c r="AA2" t="s">
        <v>114</v>
      </c>
      <c r="AB2" t="s">
        <v>115</v>
      </c>
      <c r="AC2" t="s">
        <v>116</v>
      </c>
      <c r="AD2" t="s">
        <v>117</v>
      </c>
      <c r="AE2" t="s">
        <v>118</v>
      </c>
    </row>
    <row r="3" spans="1:31">
      <c r="A3" s="2">
        <v>45289</v>
      </c>
      <c r="B3" t="s">
        <v>135</v>
      </c>
      <c r="C3" t="s">
        <v>120</v>
      </c>
      <c r="D3">
        <v>6962193</v>
      </c>
      <c r="E3" s="2">
        <v>45244</v>
      </c>
      <c r="F3" s="2">
        <v>45469</v>
      </c>
      <c r="G3">
        <v>180</v>
      </c>
      <c r="H3" t="s">
        <v>121</v>
      </c>
      <c r="I3" t="s">
        <v>122</v>
      </c>
      <c r="J3">
        <v>5.85</v>
      </c>
      <c r="K3">
        <v>32500</v>
      </c>
      <c r="L3" t="s">
        <v>123</v>
      </c>
      <c r="M3">
        <v>50000000</v>
      </c>
      <c r="N3" t="str">
        <f>Table2[[#This Row],[As of Date]]&amp;Table2[[#This Row],[Position ID]]&amp;Table2[[#This Row],[Investment Yield]]&amp;Table2[[#This Row],[Nominal]]</f>
        <v>4528969621935.8550000000</v>
      </c>
      <c r="O3" t="str">
        <f>Table2[[#This Row],[Code Concatenate]]&amp;Table2[[#This Row],[As of Date]]</f>
        <v>4528969621935.855000000045289</v>
      </c>
      <c r="P3" t="str">
        <f>IF(SUMMARY!$B$1&gt;Table2[[#This Row],[As of Date]],"YES","NO")</f>
        <v>NO</v>
      </c>
      <c r="Q3">
        <f>(J3%*M3)*((F3-E3)/360)</f>
        <v>1828125</v>
      </c>
      <c r="R3">
        <f>IF(SUMMARY!B1&lt;=A3,M3,0)</f>
        <v>50000000</v>
      </c>
      <c r="S3" s="4"/>
      <c r="T3">
        <f>IF(SUMMARY!$B$1&gt;A3,0,F3-SUMMARY!$B$1)</f>
        <v>180</v>
      </c>
      <c r="U3" s="22">
        <f>Table2[[#This Row],[Remaining days]]/360</f>
        <v>0.5</v>
      </c>
      <c r="V3" s="3">
        <f>Table2[[#This Row],[Duration]]*Table2[[#This Row],[Open reverse repos]]/10000</f>
        <v>2500</v>
      </c>
      <c r="W3" s="3">
        <f>Table2[[#This Row],[Duration]]*Table2[[#This Row],[Open reverse repos]]/100</f>
        <v>250000</v>
      </c>
      <c r="X3">
        <f>IF(A3&gt;=SUMMARY!B1,VLOOKUP(F3,'INTERPOLATED RATE(2)'!Q:U,5,0),0)</f>
        <v>6.2034797496627991E-2</v>
      </c>
      <c r="Y3">
        <f>IF(A3&gt;=SUMMARY!B1,(J3/100)-X3,0)</f>
        <v>-3.5347974966279949E-3</v>
      </c>
      <c r="Z3" s="14">
        <f t="shared" ref="Z3:Z9" si="0">Y3*V3*10000</f>
        <v>-88369.937415699867</v>
      </c>
      <c r="AA3">
        <v>0</v>
      </c>
      <c r="AB3" s="3">
        <f>Table2[[#This Row],[Unrealized value (For remaining period to Maturity) ]]+Table2[[#This Row],[Unrealized P/L at the end of prior period (Half Yr)]]</f>
        <v>-88369.937415699867</v>
      </c>
      <c r="AC3" s="4">
        <f>NETWORKDAYS(Table2[[#This Row],[Settlement Date]],Table2[[#This Row],[As of Date]],Holiday!A2:A13)</f>
        <v>32</v>
      </c>
      <c r="AD3" s="3">
        <f>IF(AC3="",0,AC3/360*J3%*M3)</f>
        <v>260000</v>
      </c>
      <c r="AE3" s="3">
        <f>Table2[[#This Row],[Income earned  (Period to date)]]+Table2[[#This Row],[Change in unrealized value]]</f>
        <v>171630.06258430012</v>
      </c>
    </row>
    <row r="4" spans="1:31">
      <c r="A4" s="2">
        <v>45289</v>
      </c>
      <c r="B4" t="s">
        <v>135</v>
      </c>
      <c r="C4" t="s">
        <v>120</v>
      </c>
      <c r="D4">
        <v>6942741</v>
      </c>
      <c r="E4" s="2">
        <v>45226</v>
      </c>
      <c r="F4" s="2">
        <v>45383</v>
      </c>
      <c r="G4">
        <v>94</v>
      </c>
      <c r="H4" t="s">
        <v>121</v>
      </c>
      <c r="I4" t="s">
        <v>124</v>
      </c>
      <c r="J4">
        <v>5.67</v>
      </c>
      <c r="K4">
        <v>63000</v>
      </c>
      <c r="L4" t="s">
        <v>123</v>
      </c>
      <c r="M4">
        <v>100000000</v>
      </c>
      <c r="N4" t="str">
        <f>Table2[[#This Row],[As of Date]]&amp;Table2[[#This Row],[Position ID]]&amp;Table2[[#This Row],[Investment Yield]]&amp;Table2[[#This Row],[Nominal]]</f>
        <v>4528969427415.67100000000</v>
      </c>
      <c r="O4" t="str">
        <f>Table2[[#This Row],[Code Concatenate]]&amp;Table2[[#This Row],[As of Date]]</f>
        <v>4528969427415.6710000000045289</v>
      </c>
      <c r="P4" t="str">
        <f>IF(SUMMARY!$B$1&gt;Table2[[#This Row],[As of Date]],"YES","NO")</f>
        <v>NO</v>
      </c>
      <c r="Q4">
        <f t="shared" ref="Q4:Q9" si="1">(J4%*M4)*((F4-E4)/360)</f>
        <v>2472750</v>
      </c>
      <c r="R4">
        <f>IF(SUMMARY!B2&lt;=A4,M4,0)</f>
        <v>100000000</v>
      </c>
      <c r="S4" s="4"/>
      <c r="T4">
        <f>IF(SUMMARY!$B$1&gt;A4,0,F4-SUMMARY!$B$1)</f>
        <v>94</v>
      </c>
      <c r="U4" s="22">
        <f>Table2[[#This Row],[Remaining days]]/360</f>
        <v>0.26111111111111113</v>
      </c>
      <c r="V4" s="4">
        <f>Table2[[#This Row],[Duration]]*Table2[[#This Row],[Open reverse repos]]/10000</f>
        <v>2611.1111111111113</v>
      </c>
      <c r="W4" s="15">
        <f>Table2[[#This Row],[Duration]]*Table2[[#This Row],[Open reverse repos]]/100</f>
        <v>261111.11111111112</v>
      </c>
      <c r="X4">
        <f>IF(A4&gt;=SUMMARY!B2,VLOOKUP(F4,'INTERPOLATED RATE(2)'!Q:U,5,0),0)</f>
        <v>5.8255558763204984E-2</v>
      </c>
      <c r="Y4">
        <f>IF(A4&gt;=SUMMARY!B2,(J4/100)-X4,0)</f>
        <v>-1.5555587632049839E-3</v>
      </c>
      <c r="Z4" s="15">
        <f t="shared" si="0"/>
        <v>-40617.36770590792</v>
      </c>
      <c r="AA4">
        <v>0</v>
      </c>
      <c r="AB4" s="3">
        <f>Table2[[#This Row],[Unrealized value (For remaining period to Maturity) ]]+Table2[[#This Row],[Unrealized P/L at the end of prior period (Half Yr)]]</f>
        <v>-40617.36770590792</v>
      </c>
      <c r="AC4" s="4">
        <f>NETWORKDAYS(Table2[[#This Row],[Settlement Date]],Table2[[#This Row],[As of Date]],Holiday!A3:A14)</f>
        <v>43</v>
      </c>
      <c r="AD4" s="3">
        <f>IF(AC4="",0,AC4/360*J4%*M4)</f>
        <v>677250.00000000012</v>
      </c>
      <c r="AE4" s="3">
        <f>Table2[[#This Row],[Income earned  (Period to date)]]+Table2[[#This Row],[Change in unrealized value]]</f>
        <v>636632.63229409221</v>
      </c>
    </row>
    <row r="5" spans="1:31">
      <c r="A5" s="2">
        <v>45289</v>
      </c>
      <c r="B5" t="s">
        <v>135</v>
      </c>
      <c r="C5" t="s">
        <v>125</v>
      </c>
      <c r="D5">
        <v>7002221</v>
      </c>
      <c r="E5" s="2">
        <v>45289</v>
      </c>
      <c r="F5" s="2">
        <v>45293</v>
      </c>
      <c r="G5">
        <v>4</v>
      </c>
      <c r="H5" t="s">
        <v>121</v>
      </c>
      <c r="I5" t="s">
        <v>126</v>
      </c>
      <c r="J5">
        <v>5.49</v>
      </c>
      <c r="K5">
        <v>61000</v>
      </c>
      <c r="L5" t="s">
        <v>123</v>
      </c>
      <c r="M5">
        <v>100000000</v>
      </c>
      <c r="N5" t="str">
        <f>Table2[[#This Row],[As of Date]]&amp;Table2[[#This Row],[Position ID]]&amp;Table2[[#This Row],[Investment Yield]]&amp;Table2[[#This Row],[Nominal]]</f>
        <v>4528970022215.49100000000</v>
      </c>
      <c r="O5" t="str">
        <f>Table2[[#This Row],[Code Concatenate]]&amp;Table2[[#This Row],[As of Date]]</f>
        <v>4528970022215.4910000000045289</v>
      </c>
      <c r="P5" t="str">
        <f>IF(SUMMARY!$B$1&gt;Table2[[#This Row],[As of Date]],"YES","NO")</f>
        <v>NO</v>
      </c>
      <c r="Q5">
        <f t="shared" si="1"/>
        <v>61000</v>
      </c>
      <c r="R5">
        <f>IF(SUMMARY!B3&lt;=A5,M5,0)</f>
        <v>100000000</v>
      </c>
      <c r="S5" s="4"/>
      <c r="T5">
        <f>IF(SUMMARY!$B$1&gt;A5,0,F5-SUMMARY!$B$1)</f>
        <v>4</v>
      </c>
      <c r="U5" s="22">
        <f>Table2[[#This Row],[Remaining days]]/360</f>
        <v>1.1111111111111112E-2</v>
      </c>
      <c r="V5" s="4">
        <f>Table2[[#This Row],[Duration]]*Table2[[#This Row],[Open reverse repos]]/10000</f>
        <v>111.11111111111113</v>
      </c>
      <c r="W5" s="15">
        <f>Table2[[#This Row],[Duration]]*Table2[[#This Row],[Open reverse repos]]/100</f>
        <v>11111.111111111113</v>
      </c>
      <c r="X5">
        <f>IF(A5&gt;=SUMMARY!B3,VLOOKUP(F5,'INTERPOLATED RATE(2)'!Q:U,5,0),0)</f>
        <v>5.4219999999999997E-2</v>
      </c>
      <c r="Y5">
        <f>IF(A5&gt;=SUMMARY!B3,(J5/100)-X5,0)</f>
        <v>6.8000000000000699E-4</v>
      </c>
      <c r="Z5" s="15">
        <f t="shared" si="0"/>
        <v>755.5555555555635</v>
      </c>
      <c r="AA5">
        <v>0</v>
      </c>
      <c r="AB5" s="3">
        <f>Table2[[#This Row],[Unrealized value (For remaining period to Maturity) ]]+Table2[[#This Row],[Unrealized P/L at the end of prior period (Half Yr)]]</f>
        <v>755.5555555555635</v>
      </c>
      <c r="AC5" s="4">
        <f>NETWORKDAYS(Table2[[#This Row],[Settlement Date]],Table2[[#This Row],[As of Date]],Holiday!A4:A15)</f>
        <v>1</v>
      </c>
      <c r="AD5" s="3">
        <f>IF(AC5="",0,AC5/360*J5%*M5)</f>
        <v>15250.000000000002</v>
      </c>
      <c r="AE5" s="3">
        <f>Table2[[#This Row],[Income earned  (Period to date)]]+Table2[[#This Row],[Change in unrealized value]]</f>
        <v>16005.555555555566</v>
      </c>
    </row>
    <row r="6" spans="1:31">
      <c r="A6" s="2">
        <v>45289</v>
      </c>
      <c r="B6" t="s">
        <v>135</v>
      </c>
      <c r="C6" t="s">
        <v>127</v>
      </c>
      <c r="D6">
        <v>6962194</v>
      </c>
      <c r="E6" s="2">
        <v>45244</v>
      </c>
      <c r="F6" s="2">
        <v>45323</v>
      </c>
      <c r="G6">
        <v>34</v>
      </c>
      <c r="H6" t="s">
        <v>121</v>
      </c>
      <c r="I6" t="s">
        <v>128</v>
      </c>
      <c r="J6">
        <v>5.54</v>
      </c>
      <c r="K6">
        <v>307777.77777777775</v>
      </c>
      <c r="L6" t="s">
        <v>123</v>
      </c>
      <c r="M6">
        <v>500000000</v>
      </c>
      <c r="N6" t="str">
        <f>Table2[[#This Row],[As of Date]]&amp;Table2[[#This Row],[Position ID]]&amp;Table2[[#This Row],[Investment Yield]]&amp;Table2[[#This Row],[Nominal]]</f>
        <v>4528969621945.54500000000</v>
      </c>
      <c r="O6" t="str">
        <f>Table2[[#This Row],[Code Concatenate]]&amp;Table2[[#This Row],[As of Date]]</f>
        <v>4528969621945.5450000000045289</v>
      </c>
      <c r="P6" t="str">
        <f>IF(SUMMARY!$B$1&gt;Table2[[#This Row],[As of Date]],"YES","NO")</f>
        <v>NO</v>
      </c>
      <c r="Q6">
        <f t="shared" si="1"/>
        <v>6078611.111111111</v>
      </c>
      <c r="R6">
        <f>IF(SUMMARY!B4&lt;=A6,M6,0)</f>
        <v>500000000</v>
      </c>
      <c r="S6" s="4"/>
      <c r="T6">
        <f>IF(SUMMARY!$B$1&gt;A6,0,F6-SUMMARY!$B$1)</f>
        <v>34</v>
      </c>
      <c r="U6" s="22">
        <f>Table2[[#This Row],[Remaining days]]/360</f>
        <v>9.4444444444444442E-2</v>
      </c>
      <c r="V6" s="4">
        <f>Table2[[#This Row],[Duration]]*Table2[[#This Row],[Open reverse repos]]/10000</f>
        <v>4722.2222222222226</v>
      </c>
      <c r="W6" s="15">
        <f>Table2[[#This Row],[Duration]]*Table2[[#This Row],[Open reverse repos]]/100</f>
        <v>472222.22222222225</v>
      </c>
      <c r="X6">
        <f>IF(A6&gt;=SUMMARY!B4,VLOOKUP(F6,'INTERPOLATED RATE(2)'!Q:U,5,0),0)</f>
        <v>5.5618880577095853E-2</v>
      </c>
      <c r="Y6">
        <f>IF(A6&gt;=SUMMARY!B4,(J6/100)-X6,0)</f>
        <v>-2.188805770958549E-4</v>
      </c>
      <c r="Z6" s="15">
        <f t="shared" si="0"/>
        <v>-10336.027251748705</v>
      </c>
      <c r="AA6">
        <v>0</v>
      </c>
      <c r="AB6" s="3">
        <f>Table2[[#This Row],[Unrealized value (For remaining period to Maturity) ]]+Table2[[#This Row],[Unrealized P/L at the end of prior period (Half Yr)]]</f>
        <v>-10336.027251748705</v>
      </c>
      <c r="AC6" s="4">
        <f>NETWORKDAYS(Table2[[#This Row],[Settlement Date]],Table2[[#This Row],[As of Date]],Holiday!A5:A16)</f>
        <v>32</v>
      </c>
      <c r="AD6" s="3">
        <f>IF(AC6="",0,AC6/360*J6%*M6)</f>
        <v>2462222.2222222225</v>
      </c>
      <c r="AE6" s="3">
        <f>Table2[[#This Row],[Income earned  (Period to date)]]+Table2[[#This Row],[Change in unrealized value]]</f>
        <v>2451886.1949704736</v>
      </c>
    </row>
    <row r="7" spans="1:31">
      <c r="A7" s="2">
        <v>45289</v>
      </c>
      <c r="B7" t="s">
        <v>135</v>
      </c>
      <c r="C7" t="s">
        <v>129</v>
      </c>
      <c r="D7">
        <v>6999852</v>
      </c>
      <c r="E7" s="2">
        <v>45287</v>
      </c>
      <c r="F7" s="2">
        <v>45294</v>
      </c>
      <c r="G7">
        <v>5</v>
      </c>
      <c r="H7" t="s">
        <v>121</v>
      </c>
      <c r="I7" t="s">
        <v>130</v>
      </c>
      <c r="J7">
        <v>5.42</v>
      </c>
      <c r="K7">
        <v>45166.66</v>
      </c>
      <c r="L7" t="s">
        <v>123</v>
      </c>
      <c r="M7">
        <v>150000000</v>
      </c>
      <c r="N7" t="str">
        <f>Table2[[#This Row],[As of Date]]&amp;Table2[[#This Row],[Position ID]]&amp;Table2[[#This Row],[Investment Yield]]&amp;Table2[[#This Row],[Nominal]]</f>
        <v>4528969998525.42150000000</v>
      </c>
      <c r="O7" t="str">
        <f>Table2[[#This Row],[Code Concatenate]]&amp;Table2[[#This Row],[As of Date]]</f>
        <v>4528969998525.4215000000045289</v>
      </c>
      <c r="P7" t="str">
        <f>IF(SUMMARY!$B$1&gt;Table2[[#This Row],[As of Date]],"YES","NO")</f>
        <v>NO</v>
      </c>
      <c r="Q7">
        <f t="shared" si="1"/>
        <v>158083.33333333334</v>
      </c>
      <c r="R7">
        <f>IF(SUMMARY!B5&lt;=A7,M7,0)</f>
        <v>150000000</v>
      </c>
      <c r="S7" s="4"/>
      <c r="T7">
        <f>IF(SUMMARY!$B$1&gt;A7,0,F7-SUMMARY!$B$1)</f>
        <v>5</v>
      </c>
      <c r="U7" s="22">
        <f>Table2[[#This Row],[Remaining days]]/360</f>
        <v>1.3888888888888888E-2</v>
      </c>
      <c r="V7" s="4">
        <f>Table2[[#This Row],[Duration]]*Table2[[#This Row],[Open reverse repos]]/10000</f>
        <v>208.33333333333331</v>
      </c>
      <c r="W7" s="15">
        <f>Table2[[#This Row],[Duration]]*Table2[[#This Row],[Open reverse repos]]/100</f>
        <v>20833.333333333332</v>
      </c>
      <c r="X7">
        <f>IF(A7&gt;=SUMMARY!B5,VLOOKUP(F7,'INTERPOLATED RATE(2)'!Q:U,5,0),0)</f>
        <v>5.4283333333333329E-2</v>
      </c>
      <c r="Y7">
        <f>IF(A7&gt;=SUMMARY!B5,(J7/100)-X7,0)</f>
        <v>-8.3333333333331094E-5</v>
      </c>
      <c r="Z7" s="15">
        <f t="shared" si="0"/>
        <v>-173.61111111110642</v>
      </c>
      <c r="AA7">
        <v>0</v>
      </c>
      <c r="AB7" s="3">
        <f>Table2[[#This Row],[Unrealized value (For remaining period to Maturity) ]]+Table2[[#This Row],[Unrealized P/L at the end of prior period (Half Yr)]]</f>
        <v>-173.61111111110642</v>
      </c>
      <c r="AC7" s="4">
        <f>NETWORKDAYS(Table2[[#This Row],[Settlement Date]],Table2[[#This Row],[As of Date]],Holiday!A6:A17)</f>
        <v>3</v>
      </c>
      <c r="AD7" s="3">
        <f>IF(AC7="",0,AC7/360*J7%*M7)</f>
        <v>67750</v>
      </c>
      <c r="AE7" s="3">
        <f>Table2[[#This Row],[Income earned  (Period to date)]]+Table2[[#This Row],[Change in unrealized value]]</f>
        <v>67576.388888888891</v>
      </c>
    </row>
    <row r="8" spans="1:31">
      <c r="A8" s="2">
        <v>45289</v>
      </c>
      <c r="B8" t="s">
        <v>135</v>
      </c>
      <c r="C8" t="s">
        <v>131</v>
      </c>
      <c r="D8">
        <v>6962731</v>
      </c>
      <c r="E8" s="2">
        <v>45244</v>
      </c>
      <c r="F8" s="2">
        <v>45653</v>
      </c>
      <c r="G8">
        <v>364</v>
      </c>
      <c r="H8" t="s">
        <v>121</v>
      </c>
      <c r="I8" t="s">
        <v>132</v>
      </c>
      <c r="J8">
        <v>5.97</v>
      </c>
      <c r="K8">
        <v>66333.333333333328</v>
      </c>
      <c r="L8" t="s">
        <v>123</v>
      </c>
      <c r="M8">
        <v>100000000</v>
      </c>
      <c r="N8" t="str">
        <f>Table2[[#This Row],[As of Date]]&amp;Table2[[#This Row],[Position ID]]&amp;Table2[[#This Row],[Investment Yield]]&amp;Table2[[#This Row],[Nominal]]</f>
        <v>4528969627315.97100000000</v>
      </c>
      <c r="O8" t="str">
        <f>Table2[[#This Row],[Code Concatenate]]&amp;Table2[[#This Row],[As of Date]]</f>
        <v>4528969627315.9710000000045289</v>
      </c>
      <c r="P8" t="str">
        <f>IF(SUMMARY!$B$1&gt;Table2[[#This Row],[As of Date]],"YES","NO")</f>
        <v>NO</v>
      </c>
      <c r="Q8">
        <f t="shared" si="1"/>
        <v>6782583.333333333</v>
      </c>
      <c r="R8">
        <f>IF(SUMMARY!B6&lt;=A8,M8,0)</f>
        <v>100000000</v>
      </c>
      <c r="S8" s="4"/>
      <c r="T8">
        <f>IF(SUMMARY!$B$1&gt;A8,0,F8-SUMMARY!$B$1)</f>
        <v>364</v>
      </c>
      <c r="U8" s="22">
        <f>Table2[[#This Row],[Remaining days]]/360</f>
        <v>1.0111111111111111</v>
      </c>
      <c r="V8" s="4">
        <f>Table2[[#This Row],[Duration]]*Table2[[#This Row],[Open reverse repos]]/10000</f>
        <v>10111.111111111111</v>
      </c>
      <c r="W8" s="15">
        <f>Table2[[#This Row],[Duration]]*Table2[[#This Row],[Open reverse repos]]/100</f>
        <v>1011111.111111111</v>
      </c>
      <c r="X8">
        <v>7.0000000000000007E-2</v>
      </c>
      <c r="Y8">
        <f>IF(A8&gt;=SUMMARY!B6,(J8/100)-X8,0)</f>
        <v>-1.0300000000000011E-2</v>
      </c>
      <c r="Z8" s="15">
        <f t="shared" si="0"/>
        <v>-1041444.4444444455</v>
      </c>
      <c r="AA8">
        <v>0</v>
      </c>
      <c r="AB8" s="3">
        <f>Table2[[#This Row],[Unrealized value (For remaining period to Maturity) ]]+Table2[[#This Row],[Unrealized P/L at the end of prior period (Half Yr)]]</f>
        <v>-1041444.4444444455</v>
      </c>
      <c r="AC8" s="4">
        <f>NETWORKDAYS(Table2[[#This Row],[Settlement Date]],Table2[[#This Row],[As of Date]],Holiday!A7:A18)</f>
        <v>32</v>
      </c>
      <c r="AD8" s="3">
        <f>IF(AC8="",0,AC8/360*J8%*M8)</f>
        <v>530666.66666666663</v>
      </c>
      <c r="AE8" s="3">
        <f>Table2[[#This Row],[Income earned  (Period to date)]]+Table2[[#This Row],[Change in unrealized value]]</f>
        <v>-510777.77777777892</v>
      </c>
    </row>
    <row r="9" spans="1:31">
      <c r="A9" s="2">
        <v>45289</v>
      </c>
      <c r="B9" t="s">
        <v>135</v>
      </c>
      <c r="C9" t="s">
        <v>133</v>
      </c>
      <c r="D9">
        <v>7002218</v>
      </c>
      <c r="E9" s="2">
        <v>45289</v>
      </c>
      <c r="F9" s="2">
        <v>45293</v>
      </c>
      <c r="G9">
        <v>4</v>
      </c>
      <c r="H9" t="s">
        <v>121</v>
      </c>
      <c r="I9" t="s">
        <v>134</v>
      </c>
      <c r="J9">
        <v>5.47</v>
      </c>
      <c r="K9">
        <v>121555.55555555556</v>
      </c>
      <c r="L9" t="s">
        <v>123</v>
      </c>
      <c r="M9">
        <v>200000000</v>
      </c>
      <c r="N9" t="str">
        <f>Table2[[#This Row],[As of Date]]&amp;Table2[[#This Row],[Position ID]]&amp;Table2[[#This Row],[Investment Yield]]&amp;Table2[[#This Row],[Nominal]]</f>
        <v>4528970022185.47200000000</v>
      </c>
      <c r="O9" t="str">
        <f>Table2[[#This Row],[Code Concatenate]]&amp;Table2[[#This Row],[As of Date]]</f>
        <v>4528970022185.4720000000045289</v>
      </c>
      <c r="P9" t="str">
        <f>IF(SUMMARY!$B$1&gt;Table2[[#This Row],[As of Date]],"YES","NO")</f>
        <v>NO</v>
      </c>
      <c r="Q9">
        <f t="shared" si="1"/>
        <v>121555.55555555556</v>
      </c>
      <c r="R9">
        <f>IF(SUMMARY!B7&lt;=A9,M9,0)</f>
        <v>200000000</v>
      </c>
      <c r="S9" s="4"/>
      <c r="T9">
        <f>IF(SUMMARY!$B$1&gt;A9,0,F9-SUMMARY!$B$1)</f>
        <v>4</v>
      </c>
      <c r="U9" s="22">
        <f>Table2[[#This Row],[Remaining days]]/360</f>
        <v>1.1111111111111112E-2</v>
      </c>
      <c r="V9" s="4">
        <f>Table2[[#This Row],[Duration]]*Table2[[#This Row],[Open reverse repos]]/10000</f>
        <v>222.22222222222226</v>
      </c>
      <c r="W9" s="15">
        <f>Table2[[#This Row],[Duration]]*Table2[[#This Row],[Open reverse repos]]/100</f>
        <v>22222.222222222226</v>
      </c>
      <c r="X9">
        <f>IF(A9&gt;=SUMMARY!B7,VLOOKUP(F9,'INTERPOLATED RATE(2)'!Q:U,5,0),0)</f>
        <v>5.4219999999999997E-2</v>
      </c>
      <c r="Y9">
        <f>IF(A9&gt;=SUMMARY!B7,(J9/100)-X9,0)</f>
        <v>4.8000000000000126E-4</v>
      </c>
      <c r="Z9" s="15">
        <f t="shared" si="0"/>
        <v>1066.6666666666697</v>
      </c>
      <c r="AA9">
        <v>0</v>
      </c>
      <c r="AB9" s="3">
        <f>Table2[[#This Row],[Unrealized value (For remaining period to Maturity) ]]+Table2[[#This Row],[Unrealized P/L at the end of prior period (Half Yr)]]</f>
        <v>1066.6666666666697</v>
      </c>
      <c r="AC9" s="4">
        <f>NETWORKDAYS(Table2[[#This Row],[Settlement Date]],Table2[[#This Row],[As of Date]],Holiday!A8:A19)</f>
        <v>1</v>
      </c>
      <c r="AD9" s="3">
        <f>IF(AC9="",0,AC9/360*J9%*M9)</f>
        <v>30388.888888888891</v>
      </c>
      <c r="AE9" s="3">
        <f>Table2[[#This Row],[Income earned  (Period to date)]]+Table2[[#This Row],[Change in unrealized value]]</f>
        <v>31455.555555555562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5">
                <anchor moveWithCells="1" sizeWithCells="1">
                  <from>
                    <xdr:col>27</xdr:col>
                    <xdr:colOff>1581150</xdr:colOff>
                    <xdr:row>11</xdr:row>
                    <xdr:rowOff>19050</xdr:rowOff>
                  </from>
                  <to>
                    <xdr:col>28</xdr:col>
                    <xdr:colOff>647700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CB7B-B761-48A4-BCC7-0EBA519577D6}">
  <sheetPr codeName="Sheet3"/>
  <dimension ref="A1:B728"/>
  <sheetViews>
    <sheetView topLeftCell="A619" workbookViewId="0">
      <selection activeCell="C653" sqref="B653:C653"/>
    </sheetView>
  </sheetViews>
  <sheetFormatPr defaultRowHeight="15"/>
  <cols>
    <col min="1" max="1" width="10.42578125" bestFit="1" customWidth="1"/>
  </cols>
  <sheetData>
    <row r="1" spans="1:2">
      <c r="A1" s="2">
        <v>44562</v>
      </c>
      <c r="B1">
        <f ca="1">200000*(2*RAND()-1)</f>
        <v>-140869.50229332401</v>
      </c>
    </row>
    <row r="2" spans="1:2">
      <c r="A2" s="2">
        <v>44563</v>
      </c>
      <c r="B2">
        <f t="shared" ref="B2:B65" ca="1" si="0">200000*(2*RAND()-1)</f>
        <v>102049.89830984705</v>
      </c>
    </row>
    <row r="3" spans="1:2">
      <c r="A3" s="2">
        <v>44564</v>
      </c>
      <c r="B3">
        <f t="shared" ca="1" si="0"/>
        <v>-99027.842247275592</v>
      </c>
    </row>
    <row r="4" spans="1:2">
      <c r="A4" s="2">
        <v>44565</v>
      </c>
      <c r="B4">
        <f t="shared" ca="1" si="0"/>
        <v>-41309.884415609762</v>
      </c>
    </row>
    <row r="5" spans="1:2">
      <c r="A5" s="2">
        <v>44566</v>
      </c>
      <c r="B5">
        <f t="shared" ca="1" si="0"/>
        <v>-184988.33612789836</v>
      </c>
    </row>
    <row r="6" spans="1:2">
      <c r="A6" s="2">
        <v>44567</v>
      </c>
      <c r="B6">
        <f t="shared" ca="1" si="0"/>
        <v>-52524.334867926693</v>
      </c>
    </row>
    <row r="7" spans="1:2">
      <c r="A7" s="2">
        <v>44568</v>
      </c>
      <c r="B7">
        <f t="shared" ca="1" si="0"/>
        <v>81094.627533297855</v>
      </c>
    </row>
    <row r="8" spans="1:2">
      <c r="A8" s="2">
        <v>44569</v>
      </c>
      <c r="B8">
        <f t="shared" ca="1" si="0"/>
        <v>94313.046300842456</v>
      </c>
    </row>
    <row r="9" spans="1:2">
      <c r="A9" s="2">
        <v>44570</v>
      </c>
      <c r="B9">
        <f t="shared" ca="1" si="0"/>
        <v>180449.07786948956</v>
      </c>
    </row>
    <row r="10" spans="1:2">
      <c r="A10" s="2">
        <v>44571</v>
      </c>
      <c r="B10">
        <f t="shared" ca="1" si="0"/>
        <v>-72558.683579922435</v>
      </c>
    </row>
    <row r="11" spans="1:2">
      <c r="A11" s="2">
        <v>44572</v>
      </c>
      <c r="B11">
        <f t="shared" ca="1" si="0"/>
        <v>-62235.373598970109</v>
      </c>
    </row>
    <row r="12" spans="1:2">
      <c r="A12" s="2">
        <v>44573</v>
      </c>
      <c r="B12">
        <f t="shared" ca="1" si="0"/>
        <v>-128919.62888750648</v>
      </c>
    </row>
    <row r="13" spans="1:2">
      <c r="A13" s="2">
        <v>44574</v>
      </c>
      <c r="B13">
        <f t="shared" ca="1" si="0"/>
        <v>129077.76176501127</v>
      </c>
    </row>
    <row r="14" spans="1:2">
      <c r="A14" s="2">
        <v>44575</v>
      </c>
      <c r="B14">
        <f t="shared" ca="1" si="0"/>
        <v>-7998.8974976229701</v>
      </c>
    </row>
    <row r="15" spans="1:2">
      <c r="A15" s="2">
        <v>44576</v>
      </c>
      <c r="B15">
        <f t="shared" ca="1" si="0"/>
        <v>-99981.37016437485</v>
      </c>
    </row>
    <row r="16" spans="1:2">
      <c r="A16" s="2">
        <v>44577</v>
      </c>
      <c r="B16">
        <f t="shared" ca="1" si="0"/>
        <v>-29234.207574163749</v>
      </c>
    </row>
    <row r="17" spans="1:2">
      <c r="A17" s="2">
        <v>44578</v>
      </c>
      <c r="B17">
        <f t="shared" ca="1" si="0"/>
        <v>162319.10369694079</v>
      </c>
    </row>
    <row r="18" spans="1:2">
      <c r="A18" s="2">
        <v>44579</v>
      </c>
      <c r="B18">
        <f t="shared" ca="1" si="0"/>
        <v>-198928.33036935836</v>
      </c>
    </row>
    <row r="19" spans="1:2">
      <c r="A19" s="2">
        <v>44580</v>
      </c>
      <c r="B19">
        <f t="shared" ca="1" si="0"/>
        <v>135012.86161592917</v>
      </c>
    </row>
    <row r="20" spans="1:2">
      <c r="A20" s="2">
        <v>44581</v>
      </c>
      <c r="B20">
        <f t="shared" ca="1" si="0"/>
        <v>-88787.374231091802</v>
      </c>
    </row>
    <row r="21" spans="1:2">
      <c r="A21" s="2">
        <v>44582</v>
      </c>
      <c r="B21">
        <f t="shared" ca="1" si="0"/>
        <v>-84198.147998978398</v>
      </c>
    </row>
    <row r="22" spans="1:2">
      <c r="A22" s="2">
        <v>44583</v>
      </c>
      <c r="B22">
        <f t="shared" ca="1" si="0"/>
        <v>184964.63746637729</v>
      </c>
    </row>
    <row r="23" spans="1:2">
      <c r="A23" s="2">
        <v>44584</v>
      </c>
      <c r="B23">
        <f t="shared" ca="1" si="0"/>
        <v>138782.47007531335</v>
      </c>
    </row>
    <row r="24" spans="1:2">
      <c r="A24" s="2">
        <v>44585</v>
      </c>
      <c r="B24">
        <f t="shared" ca="1" si="0"/>
        <v>-74369.001518331497</v>
      </c>
    </row>
    <row r="25" spans="1:2">
      <c r="A25" s="2">
        <v>44586</v>
      </c>
      <c r="B25">
        <f t="shared" ca="1" si="0"/>
        <v>-96377.717657372836</v>
      </c>
    </row>
    <row r="26" spans="1:2">
      <c r="A26" s="2">
        <v>44587</v>
      </c>
      <c r="B26">
        <f t="shared" ca="1" si="0"/>
        <v>-117314.40399557207</v>
      </c>
    </row>
    <row r="27" spans="1:2">
      <c r="A27" s="2">
        <v>44588</v>
      </c>
      <c r="B27">
        <f t="shared" ca="1" si="0"/>
        <v>66018.29283574663</v>
      </c>
    </row>
    <row r="28" spans="1:2">
      <c r="A28" s="2">
        <v>44589</v>
      </c>
      <c r="B28">
        <f t="shared" ca="1" si="0"/>
        <v>-45939.530265604</v>
      </c>
    </row>
    <row r="29" spans="1:2">
      <c r="A29" s="2">
        <v>44590</v>
      </c>
      <c r="B29">
        <f t="shared" ca="1" si="0"/>
        <v>-192071.37429525837</v>
      </c>
    </row>
    <row r="30" spans="1:2">
      <c r="A30" s="2">
        <v>44591</v>
      </c>
      <c r="B30">
        <f t="shared" ca="1" si="0"/>
        <v>47132.013803816888</v>
      </c>
    </row>
    <row r="31" spans="1:2">
      <c r="A31" s="2">
        <v>44592</v>
      </c>
      <c r="B31">
        <f t="shared" ca="1" si="0"/>
        <v>5482.3473891457479</v>
      </c>
    </row>
    <row r="32" spans="1:2">
      <c r="A32" s="2">
        <v>44593</v>
      </c>
      <c r="B32">
        <f t="shared" ca="1" si="0"/>
        <v>135858.09005293265</v>
      </c>
    </row>
    <row r="33" spans="1:2">
      <c r="A33" s="2">
        <v>44594</v>
      </c>
      <c r="B33">
        <f t="shared" ca="1" si="0"/>
        <v>95457.523036366736</v>
      </c>
    </row>
    <row r="34" spans="1:2">
      <c r="A34" s="2">
        <v>44595</v>
      </c>
      <c r="B34">
        <f t="shared" ca="1" si="0"/>
        <v>-10890.061740557889</v>
      </c>
    </row>
    <row r="35" spans="1:2">
      <c r="A35" s="2">
        <v>44596</v>
      </c>
      <c r="B35">
        <f t="shared" ca="1" si="0"/>
        <v>-40464.198264066596</v>
      </c>
    </row>
    <row r="36" spans="1:2">
      <c r="A36" s="2">
        <v>44597</v>
      </c>
      <c r="B36">
        <f t="shared" ca="1" si="0"/>
        <v>71292.385172106602</v>
      </c>
    </row>
    <row r="37" spans="1:2">
      <c r="A37" s="2">
        <v>44598</v>
      </c>
      <c r="B37">
        <f t="shared" ca="1" si="0"/>
        <v>53630.236387767429</v>
      </c>
    </row>
    <row r="38" spans="1:2">
      <c r="A38" s="2">
        <v>44599</v>
      </c>
      <c r="B38">
        <f t="shared" ca="1" si="0"/>
        <v>-174858.57364763619</v>
      </c>
    </row>
    <row r="39" spans="1:2">
      <c r="A39" s="2">
        <v>44600</v>
      </c>
      <c r="B39">
        <f t="shared" ca="1" si="0"/>
        <v>-167939.5327926834</v>
      </c>
    </row>
    <row r="40" spans="1:2">
      <c r="A40" s="2">
        <v>44601</v>
      </c>
      <c r="B40">
        <f t="shared" ca="1" si="0"/>
        <v>-99369.781594490632</v>
      </c>
    </row>
    <row r="41" spans="1:2">
      <c r="A41" s="2">
        <v>44602</v>
      </c>
      <c r="B41">
        <f t="shared" ca="1" si="0"/>
        <v>-91323.44440350763</v>
      </c>
    </row>
    <row r="42" spans="1:2">
      <c r="A42" s="2">
        <v>44603</v>
      </c>
      <c r="B42">
        <f t="shared" ca="1" si="0"/>
        <v>-111750.16808421226</v>
      </c>
    </row>
    <row r="43" spans="1:2">
      <c r="A43" s="2">
        <v>44604</v>
      </c>
      <c r="B43">
        <f t="shared" ca="1" si="0"/>
        <v>142417.73586373284</v>
      </c>
    </row>
    <row r="44" spans="1:2">
      <c r="A44" s="2">
        <v>44605</v>
      </c>
      <c r="B44">
        <f t="shared" ca="1" si="0"/>
        <v>-157695.82413425224</v>
      </c>
    </row>
    <row r="45" spans="1:2">
      <c r="A45" s="2">
        <v>44606</v>
      </c>
      <c r="B45">
        <f t="shared" ca="1" si="0"/>
        <v>3883.277518444128</v>
      </c>
    </row>
    <row r="46" spans="1:2">
      <c r="A46" s="2">
        <v>44607</v>
      </c>
      <c r="B46">
        <f t="shared" ca="1" si="0"/>
        <v>-62103.946305098478</v>
      </c>
    </row>
    <row r="47" spans="1:2">
      <c r="A47" s="2">
        <v>44608</v>
      </c>
      <c r="B47">
        <f t="shared" ca="1" si="0"/>
        <v>-19868.306529825652</v>
      </c>
    </row>
    <row r="48" spans="1:2">
      <c r="A48" s="2">
        <v>44609</v>
      </c>
      <c r="B48">
        <f t="shared" ca="1" si="0"/>
        <v>-138234.44497369611</v>
      </c>
    </row>
    <row r="49" spans="1:2">
      <c r="A49" s="2">
        <v>44610</v>
      </c>
      <c r="B49">
        <f t="shared" ca="1" si="0"/>
        <v>112055.52576906786</v>
      </c>
    </row>
    <row r="50" spans="1:2">
      <c r="A50" s="2">
        <v>44611</v>
      </c>
      <c r="B50">
        <f t="shared" ca="1" si="0"/>
        <v>43508.313786057952</v>
      </c>
    </row>
    <row r="51" spans="1:2">
      <c r="A51" s="2">
        <v>44612</v>
      </c>
      <c r="B51">
        <f t="shared" ca="1" si="0"/>
        <v>32996.72674053871</v>
      </c>
    </row>
    <row r="52" spans="1:2">
      <c r="A52" s="2">
        <v>44613</v>
      </c>
      <c r="B52">
        <f t="shared" ca="1" si="0"/>
        <v>145419.3339926379</v>
      </c>
    </row>
    <row r="53" spans="1:2">
      <c r="A53" s="2">
        <v>44614</v>
      </c>
      <c r="B53">
        <f t="shared" ca="1" si="0"/>
        <v>-931.67424993993995</v>
      </c>
    </row>
    <row r="54" spans="1:2">
      <c r="A54" s="2">
        <v>44615</v>
      </c>
      <c r="B54">
        <f t="shared" ca="1" si="0"/>
        <v>-50689.151855933764</v>
      </c>
    </row>
    <row r="55" spans="1:2">
      <c r="A55" s="2">
        <v>44616</v>
      </c>
      <c r="B55">
        <f t="shared" ca="1" si="0"/>
        <v>23975.235423604601</v>
      </c>
    </row>
    <row r="56" spans="1:2">
      <c r="A56" s="2">
        <v>44617</v>
      </c>
      <c r="B56">
        <f t="shared" ca="1" si="0"/>
        <v>-143198.45772183454</v>
      </c>
    </row>
    <row r="57" spans="1:2">
      <c r="A57" s="2">
        <v>44618</v>
      </c>
      <c r="B57">
        <f t="shared" ca="1" si="0"/>
        <v>-113719.13007448122</v>
      </c>
    </row>
    <row r="58" spans="1:2">
      <c r="A58" s="2">
        <v>44619</v>
      </c>
      <c r="B58">
        <f t="shared" ca="1" si="0"/>
        <v>-58101.576158379721</v>
      </c>
    </row>
    <row r="59" spans="1:2">
      <c r="A59" s="2">
        <v>44620</v>
      </c>
      <c r="B59">
        <f t="shared" ca="1" si="0"/>
        <v>-2544.9118453507945</v>
      </c>
    </row>
    <row r="60" spans="1:2">
      <c r="A60" s="2">
        <v>44621</v>
      </c>
      <c r="B60">
        <f t="shared" ca="1" si="0"/>
        <v>-23500.742618694127</v>
      </c>
    </row>
    <row r="61" spans="1:2">
      <c r="A61" s="2">
        <v>44622</v>
      </c>
      <c r="B61">
        <f t="shared" ca="1" si="0"/>
        <v>-198333.51665747818</v>
      </c>
    </row>
    <row r="62" spans="1:2">
      <c r="A62" s="2">
        <v>44623</v>
      </c>
      <c r="B62">
        <f t="shared" ca="1" si="0"/>
        <v>14355.828995000542</v>
      </c>
    </row>
    <row r="63" spans="1:2">
      <c r="A63" s="2">
        <v>44624</v>
      </c>
      <c r="B63">
        <f t="shared" ca="1" si="0"/>
        <v>-58201.749663385715</v>
      </c>
    </row>
    <row r="64" spans="1:2">
      <c r="A64" s="2">
        <v>44625</v>
      </c>
      <c r="B64">
        <f t="shared" ca="1" si="0"/>
        <v>103647.0811952682</v>
      </c>
    </row>
    <row r="65" spans="1:2">
      <c r="A65" s="2">
        <v>44626</v>
      </c>
      <c r="B65">
        <f t="shared" ca="1" si="0"/>
        <v>-122595.58384022182</v>
      </c>
    </row>
    <row r="66" spans="1:2">
      <c r="A66" s="2">
        <v>44627</v>
      </c>
      <c r="B66">
        <f t="shared" ref="B66:B129" ca="1" si="1">200000*(2*RAND()-1)</f>
        <v>13680.667079928498</v>
      </c>
    </row>
    <row r="67" spans="1:2">
      <c r="A67" s="2">
        <v>44628</v>
      </c>
      <c r="B67">
        <f t="shared" ca="1" si="1"/>
        <v>71769.946971276077</v>
      </c>
    </row>
    <row r="68" spans="1:2">
      <c r="A68" s="2">
        <v>44629</v>
      </c>
      <c r="B68">
        <f t="shared" ca="1" si="1"/>
        <v>-4872.5130753724861</v>
      </c>
    </row>
    <row r="69" spans="1:2">
      <c r="A69" s="2">
        <v>44630</v>
      </c>
      <c r="B69">
        <f t="shared" ca="1" si="1"/>
        <v>-149294.09505231192</v>
      </c>
    </row>
    <row r="70" spans="1:2">
      <c r="A70" s="2">
        <v>44631</v>
      </c>
      <c r="B70">
        <f t="shared" ca="1" si="1"/>
        <v>179029.98131207045</v>
      </c>
    </row>
    <row r="71" spans="1:2">
      <c r="A71" s="2">
        <v>44632</v>
      </c>
      <c r="B71">
        <f t="shared" ca="1" si="1"/>
        <v>-74079.411295503261</v>
      </c>
    </row>
    <row r="72" spans="1:2">
      <c r="A72" s="2">
        <v>44633</v>
      </c>
      <c r="B72">
        <f t="shared" ca="1" si="1"/>
        <v>-100910.78578478206</v>
      </c>
    </row>
    <row r="73" spans="1:2">
      <c r="A73" s="2">
        <v>44634</v>
      </c>
      <c r="B73">
        <f t="shared" ca="1" si="1"/>
        <v>118624.94833341728</v>
      </c>
    </row>
    <row r="74" spans="1:2">
      <c r="A74" s="2">
        <v>44635</v>
      </c>
      <c r="B74">
        <f t="shared" ca="1" si="1"/>
        <v>40161.862808268677</v>
      </c>
    </row>
    <row r="75" spans="1:2">
      <c r="A75" s="2">
        <v>44636</v>
      </c>
      <c r="B75">
        <f t="shared" ca="1" si="1"/>
        <v>-58199.013587563764</v>
      </c>
    </row>
    <row r="76" spans="1:2">
      <c r="A76" s="2">
        <v>44637</v>
      </c>
      <c r="B76">
        <f t="shared" ca="1" si="1"/>
        <v>30308.729665066858</v>
      </c>
    </row>
    <row r="77" spans="1:2">
      <c r="A77" s="2">
        <v>44638</v>
      </c>
      <c r="B77">
        <f t="shared" ca="1" si="1"/>
        <v>-25808.638544145389</v>
      </c>
    </row>
    <row r="78" spans="1:2">
      <c r="A78" s="2">
        <v>44639</v>
      </c>
      <c r="B78">
        <f t="shared" ca="1" si="1"/>
        <v>-98828.544461046869</v>
      </c>
    </row>
    <row r="79" spans="1:2">
      <c r="A79" s="2">
        <v>44640</v>
      </c>
      <c r="B79">
        <f t="shared" ca="1" si="1"/>
        <v>-183884.72393224432</v>
      </c>
    </row>
    <row r="80" spans="1:2">
      <c r="A80" s="2">
        <v>44641</v>
      </c>
      <c r="B80">
        <f t="shared" ca="1" si="1"/>
        <v>-27802.368374664966</v>
      </c>
    </row>
    <row r="81" spans="1:2">
      <c r="A81" s="2">
        <v>44642</v>
      </c>
      <c r="B81">
        <f t="shared" ca="1" si="1"/>
        <v>110275.47106166091</v>
      </c>
    </row>
    <row r="82" spans="1:2">
      <c r="A82" s="2">
        <v>44643</v>
      </c>
      <c r="B82">
        <f t="shared" ca="1" si="1"/>
        <v>-64760.959516818148</v>
      </c>
    </row>
    <row r="83" spans="1:2">
      <c r="A83" s="2">
        <v>44644</v>
      </c>
      <c r="B83">
        <f t="shared" ca="1" si="1"/>
        <v>-121738.96079294434</v>
      </c>
    </row>
    <row r="84" spans="1:2">
      <c r="A84" s="2">
        <v>44645</v>
      </c>
      <c r="B84">
        <f t="shared" ca="1" si="1"/>
        <v>89873.21004068703</v>
      </c>
    </row>
    <row r="85" spans="1:2">
      <c r="A85" s="2">
        <v>44646</v>
      </c>
      <c r="B85">
        <f t="shared" ca="1" si="1"/>
        <v>89052.262882808631</v>
      </c>
    </row>
    <row r="86" spans="1:2">
      <c r="A86" s="2">
        <v>44647</v>
      </c>
      <c r="B86">
        <f t="shared" ca="1" si="1"/>
        <v>-113401.38733115172</v>
      </c>
    </row>
    <row r="87" spans="1:2">
      <c r="A87" s="2">
        <v>44648</v>
      </c>
      <c r="B87">
        <f t="shared" ca="1" si="1"/>
        <v>-84277.202488122333</v>
      </c>
    </row>
    <row r="88" spans="1:2">
      <c r="A88" s="2">
        <v>44649</v>
      </c>
      <c r="B88">
        <f t="shared" ca="1" si="1"/>
        <v>-190420.84774987042</v>
      </c>
    </row>
    <row r="89" spans="1:2">
      <c r="A89" s="2">
        <v>44650</v>
      </c>
      <c r="B89">
        <f t="shared" ca="1" si="1"/>
        <v>7415.832074480244</v>
      </c>
    </row>
    <row r="90" spans="1:2">
      <c r="A90" s="2">
        <v>44651</v>
      </c>
      <c r="B90">
        <f t="shared" ca="1" si="1"/>
        <v>-141988.80824170247</v>
      </c>
    </row>
    <row r="91" spans="1:2">
      <c r="A91" s="2">
        <v>44652</v>
      </c>
      <c r="B91">
        <f t="shared" ca="1" si="1"/>
        <v>-139132.38690502153</v>
      </c>
    </row>
    <row r="92" spans="1:2">
      <c r="A92" s="2">
        <v>44653</v>
      </c>
      <c r="B92">
        <f t="shared" ca="1" si="1"/>
        <v>100194.68474519937</v>
      </c>
    </row>
    <row r="93" spans="1:2">
      <c r="A93" s="2">
        <v>44654</v>
      </c>
      <c r="B93">
        <f t="shared" ca="1" si="1"/>
        <v>-48038.541404522439</v>
      </c>
    </row>
    <row r="94" spans="1:2">
      <c r="A94" s="2">
        <v>44655</v>
      </c>
      <c r="B94">
        <f t="shared" ca="1" si="1"/>
        <v>-47878.803589603966</v>
      </c>
    </row>
    <row r="95" spans="1:2">
      <c r="A95" s="2">
        <v>44656</v>
      </c>
      <c r="B95">
        <f t="shared" ca="1" si="1"/>
        <v>142676.94116959849</v>
      </c>
    </row>
    <row r="96" spans="1:2">
      <c r="A96" s="2">
        <v>44657</v>
      </c>
      <c r="B96">
        <f t="shared" ca="1" si="1"/>
        <v>-114049.34491381403</v>
      </c>
    </row>
    <row r="97" spans="1:2">
      <c r="A97" s="2">
        <v>44658</v>
      </c>
      <c r="B97">
        <f t="shared" ca="1" si="1"/>
        <v>-68339.490390092105</v>
      </c>
    </row>
    <row r="98" spans="1:2">
      <c r="A98" s="2">
        <v>44659</v>
      </c>
      <c r="B98">
        <f t="shared" ca="1" si="1"/>
        <v>134422.45867489401</v>
      </c>
    </row>
    <row r="99" spans="1:2">
      <c r="A99" s="2">
        <v>44660</v>
      </c>
      <c r="B99">
        <f t="shared" ca="1" si="1"/>
        <v>-182427.92761712705</v>
      </c>
    </row>
    <row r="100" spans="1:2">
      <c r="A100" s="2">
        <v>44661</v>
      </c>
      <c r="B100">
        <f t="shared" ca="1" si="1"/>
        <v>-143614.44779494536</v>
      </c>
    </row>
    <row r="101" spans="1:2">
      <c r="A101" s="2">
        <v>44662</v>
      </c>
      <c r="B101">
        <f t="shared" ca="1" si="1"/>
        <v>33765.545034809329</v>
      </c>
    </row>
    <row r="102" spans="1:2">
      <c r="A102" s="2">
        <v>44663</v>
      </c>
      <c r="B102">
        <f t="shared" ca="1" si="1"/>
        <v>137047.45044912884</v>
      </c>
    </row>
    <row r="103" spans="1:2">
      <c r="A103" s="2">
        <v>44664</v>
      </c>
      <c r="B103">
        <f t="shared" ca="1" si="1"/>
        <v>-68181.950379098533</v>
      </c>
    </row>
    <row r="104" spans="1:2">
      <c r="A104" s="2">
        <v>44665</v>
      </c>
      <c r="B104">
        <f t="shared" ca="1" si="1"/>
        <v>-120520.96999383729</v>
      </c>
    </row>
    <row r="105" spans="1:2">
      <c r="A105" s="2">
        <v>44666</v>
      </c>
      <c r="B105">
        <f t="shared" ca="1" si="1"/>
        <v>-24225.34182027687</v>
      </c>
    </row>
    <row r="106" spans="1:2">
      <c r="A106" s="2">
        <v>44667</v>
      </c>
      <c r="B106">
        <f t="shared" ca="1" si="1"/>
        <v>-141640.41202965259</v>
      </c>
    </row>
    <row r="107" spans="1:2">
      <c r="A107" s="2">
        <v>44668</v>
      </c>
      <c r="B107">
        <f t="shared" ca="1" si="1"/>
        <v>-124938.39759002716</v>
      </c>
    </row>
    <row r="108" spans="1:2">
      <c r="A108" s="2">
        <v>44669</v>
      </c>
      <c r="B108">
        <f t="shared" ca="1" si="1"/>
        <v>14809.228188437639</v>
      </c>
    </row>
    <row r="109" spans="1:2">
      <c r="A109" s="2">
        <v>44670</v>
      </c>
      <c r="B109">
        <f t="shared" ca="1" si="1"/>
        <v>-44200.633305241863</v>
      </c>
    </row>
    <row r="110" spans="1:2">
      <c r="A110" s="2">
        <v>44671</v>
      </c>
      <c r="B110">
        <f t="shared" ca="1" si="1"/>
        <v>178189.03218374494</v>
      </c>
    </row>
    <row r="111" spans="1:2">
      <c r="A111" s="2">
        <v>44672</v>
      </c>
      <c r="B111">
        <f t="shared" ca="1" si="1"/>
        <v>66132.05856674003</v>
      </c>
    </row>
    <row r="112" spans="1:2">
      <c r="A112" s="2">
        <v>44673</v>
      </c>
      <c r="B112">
        <f t="shared" ca="1" si="1"/>
        <v>-150626.63801644286</v>
      </c>
    </row>
    <row r="113" spans="1:2">
      <c r="A113" s="2">
        <v>44674</v>
      </c>
      <c r="B113">
        <f t="shared" ca="1" si="1"/>
        <v>-100329.73596569219</v>
      </c>
    </row>
    <row r="114" spans="1:2">
      <c r="A114" s="2">
        <v>44675</v>
      </c>
      <c r="B114">
        <f t="shared" ca="1" si="1"/>
        <v>-24212.706488757707</v>
      </c>
    </row>
    <row r="115" spans="1:2">
      <c r="A115" s="2">
        <v>44676</v>
      </c>
      <c r="B115">
        <f t="shared" ca="1" si="1"/>
        <v>56468.015743083379</v>
      </c>
    </row>
    <row r="116" spans="1:2">
      <c r="A116" s="2">
        <v>44677</v>
      </c>
      <c r="B116">
        <f t="shared" ca="1" si="1"/>
        <v>194291.46304544606</v>
      </c>
    </row>
    <row r="117" spans="1:2">
      <c r="A117" s="2">
        <v>44678</v>
      </c>
      <c r="B117">
        <f t="shared" ca="1" si="1"/>
        <v>77716.618431998169</v>
      </c>
    </row>
    <row r="118" spans="1:2">
      <c r="A118" s="2">
        <v>44679</v>
      </c>
      <c r="B118">
        <f t="shared" ca="1" si="1"/>
        <v>-156878.71923610591</v>
      </c>
    </row>
    <row r="119" spans="1:2">
      <c r="A119" s="2">
        <v>44680</v>
      </c>
      <c r="B119">
        <f t="shared" ca="1" si="1"/>
        <v>-74494.12867809771</v>
      </c>
    </row>
    <row r="120" spans="1:2">
      <c r="A120" s="2">
        <v>44681</v>
      </c>
      <c r="B120">
        <f t="shared" ca="1" si="1"/>
        <v>-66455.247420309111</v>
      </c>
    </row>
    <row r="121" spans="1:2">
      <c r="A121" s="2">
        <v>44682</v>
      </c>
      <c r="B121">
        <f t="shared" ca="1" si="1"/>
        <v>-196287.03348340385</v>
      </c>
    </row>
    <row r="122" spans="1:2">
      <c r="A122" s="2">
        <v>44683</v>
      </c>
      <c r="B122">
        <f t="shared" ca="1" si="1"/>
        <v>99707.453050335287</v>
      </c>
    </row>
    <row r="123" spans="1:2">
      <c r="A123" s="2">
        <v>44684</v>
      </c>
      <c r="B123">
        <f t="shared" ca="1" si="1"/>
        <v>-23185.109818546047</v>
      </c>
    </row>
    <row r="124" spans="1:2">
      <c r="A124" s="2">
        <v>44685</v>
      </c>
      <c r="B124">
        <f t="shared" ca="1" si="1"/>
        <v>-156290.45441634851</v>
      </c>
    </row>
    <row r="125" spans="1:2">
      <c r="A125" s="2">
        <v>44686</v>
      </c>
      <c r="B125">
        <f t="shared" ca="1" si="1"/>
        <v>-31640.20288788194</v>
      </c>
    </row>
    <row r="126" spans="1:2">
      <c r="A126" s="2">
        <v>44687</v>
      </c>
      <c r="B126">
        <f t="shared" ca="1" si="1"/>
        <v>-10050.779348503669</v>
      </c>
    </row>
    <row r="127" spans="1:2">
      <c r="A127" s="2">
        <v>44688</v>
      </c>
      <c r="B127">
        <f t="shared" ca="1" si="1"/>
        <v>179668.31788842307</v>
      </c>
    </row>
    <row r="128" spans="1:2">
      <c r="A128" s="2">
        <v>44689</v>
      </c>
      <c r="B128">
        <f t="shared" ca="1" si="1"/>
        <v>-6981.8620254007428</v>
      </c>
    </row>
    <row r="129" spans="1:2">
      <c r="A129" s="2">
        <v>44690</v>
      </c>
      <c r="B129">
        <f t="shared" ca="1" si="1"/>
        <v>-1169.716154825906</v>
      </c>
    </row>
    <row r="130" spans="1:2">
      <c r="A130" s="2">
        <v>44691</v>
      </c>
      <c r="B130">
        <f t="shared" ref="B130:B193" ca="1" si="2">200000*(2*RAND()-1)</f>
        <v>1083.2809342633532</v>
      </c>
    </row>
    <row r="131" spans="1:2">
      <c r="A131" s="2">
        <v>44692</v>
      </c>
      <c r="B131">
        <f t="shared" ca="1" si="2"/>
        <v>70826.779267976919</v>
      </c>
    </row>
    <row r="132" spans="1:2">
      <c r="A132" s="2">
        <v>44693</v>
      </c>
      <c r="B132">
        <f t="shared" ca="1" si="2"/>
        <v>-188141.70202994012</v>
      </c>
    </row>
    <row r="133" spans="1:2">
      <c r="A133" s="2">
        <v>44694</v>
      </c>
      <c r="B133">
        <f t="shared" ca="1" si="2"/>
        <v>-159150.6843170051</v>
      </c>
    </row>
    <row r="134" spans="1:2">
      <c r="A134" s="2">
        <v>44695</v>
      </c>
      <c r="B134">
        <f t="shared" ca="1" si="2"/>
        <v>191129.48237797536</v>
      </c>
    </row>
    <row r="135" spans="1:2">
      <c r="A135" s="2">
        <v>44696</v>
      </c>
      <c r="B135">
        <f t="shared" ca="1" si="2"/>
        <v>-156540.31237127949</v>
      </c>
    </row>
    <row r="136" spans="1:2">
      <c r="A136" s="2">
        <v>44697</v>
      </c>
      <c r="B136">
        <f t="shared" ca="1" si="2"/>
        <v>-181876.70931962528</v>
      </c>
    </row>
    <row r="137" spans="1:2">
      <c r="A137" s="2">
        <v>44698</v>
      </c>
      <c r="B137">
        <f t="shared" ca="1" si="2"/>
        <v>-154073.60542138803</v>
      </c>
    </row>
    <row r="138" spans="1:2">
      <c r="A138" s="2">
        <v>44699</v>
      </c>
      <c r="B138">
        <f t="shared" ca="1" si="2"/>
        <v>809.61686609635206</v>
      </c>
    </row>
    <row r="139" spans="1:2">
      <c r="A139" s="2">
        <v>44700</v>
      </c>
      <c r="B139">
        <f t="shared" ca="1" si="2"/>
        <v>-145301.98540200162</v>
      </c>
    </row>
    <row r="140" spans="1:2">
      <c r="A140" s="2">
        <v>44701</v>
      </c>
      <c r="B140">
        <f t="shared" ca="1" si="2"/>
        <v>185933.39029740563</v>
      </c>
    </row>
    <row r="141" spans="1:2">
      <c r="A141" s="2">
        <v>44702</v>
      </c>
      <c r="B141">
        <f t="shared" ca="1" si="2"/>
        <v>-50786.392377481483</v>
      </c>
    </row>
    <row r="142" spans="1:2">
      <c r="A142" s="2">
        <v>44703</v>
      </c>
      <c r="B142">
        <f t="shared" ca="1" si="2"/>
        <v>-8818.4852929695808</v>
      </c>
    </row>
    <row r="143" spans="1:2">
      <c r="A143" s="2">
        <v>44704</v>
      </c>
      <c r="B143">
        <f t="shared" ca="1" si="2"/>
        <v>189062.04828699023</v>
      </c>
    </row>
    <row r="144" spans="1:2">
      <c r="A144" s="2">
        <v>44705</v>
      </c>
      <c r="B144">
        <f t="shared" ca="1" si="2"/>
        <v>-63454.291240142389</v>
      </c>
    </row>
    <row r="145" spans="1:2">
      <c r="A145" s="2">
        <v>44706</v>
      </c>
      <c r="B145">
        <f t="shared" ca="1" si="2"/>
        <v>143621.69052579728</v>
      </c>
    </row>
    <row r="146" spans="1:2">
      <c r="A146" s="2">
        <v>44707</v>
      </c>
      <c r="B146">
        <f t="shared" ca="1" si="2"/>
        <v>85155.616299516274</v>
      </c>
    </row>
    <row r="147" spans="1:2">
      <c r="A147" s="2">
        <v>44708</v>
      </c>
      <c r="B147">
        <f t="shared" ca="1" si="2"/>
        <v>195075.04667243332</v>
      </c>
    </row>
    <row r="148" spans="1:2">
      <c r="A148" s="2">
        <v>44709</v>
      </c>
      <c r="B148">
        <f t="shared" ca="1" si="2"/>
        <v>-167952.74275197886</v>
      </c>
    </row>
    <row r="149" spans="1:2">
      <c r="A149" s="2">
        <v>44710</v>
      </c>
      <c r="B149">
        <f t="shared" ca="1" si="2"/>
        <v>-63446.913905090783</v>
      </c>
    </row>
    <row r="150" spans="1:2">
      <c r="A150" s="2">
        <v>44711</v>
      </c>
      <c r="B150">
        <f t="shared" ca="1" si="2"/>
        <v>-63141.165623360517</v>
      </c>
    </row>
    <row r="151" spans="1:2">
      <c r="A151" s="2">
        <v>44712</v>
      </c>
      <c r="B151">
        <f t="shared" ca="1" si="2"/>
        <v>141150.54831646758</v>
      </c>
    </row>
    <row r="152" spans="1:2">
      <c r="A152" s="2">
        <v>44713</v>
      </c>
      <c r="B152">
        <f t="shared" ca="1" si="2"/>
        <v>-85553.75876112991</v>
      </c>
    </row>
    <row r="153" spans="1:2">
      <c r="A153" s="2">
        <v>44714</v>
      </c>
      <c r="B153">
        <f t="shared" ca="1" si="2"/>
        <v>113770.33132898013</v>
      </c>
    </row>
    <row r="154" spans="1:2">
      <c r="A154" s="2">
        <v>44715</v>
      </c>
      <c r="B154">
        <f t="shared" ca="1" si="2"/>
        <v>-141057.0139283489</v>
      </c>
    </row>
    <row r="155" spans="1:2">
      <c r="A155" s="2">
        <v>44716</v>
      </c>
      <c r="B155">
        <f t="shared" ca="1" si="2"/>
        <v>194285.05556515817</v>
      </c>
    </row>
    <row r="156" spans="1:2">
      <c r="A156" s="2">
        <v>44717</v>
      </c>
      <c r="B156">
        <f t="shared" ca="1" si="2"/>
        <v>161497.15431368418</v>
      </c>
    </row>
    <row r="157" spans="1:2">
      <c r="A157" s="2">
        <v>44718</v>
      </c>
      <c r="B157">
        <f t="shared" ca="1" si="2"/>
        <v>63872.001419466564</v>
      </c>
    </row>
    <row r="158" spans="1:2">
      <c r="A158" s="2">
        <v>44719</v>
      </c>
      <c r="B158">
        <f t="shared" ca="1" si="2"/>
        <v>157683.31811536363</v>
      </c>
    </row>
    <row r="159" spans="1:2">
      <c r="A159" s="2">
        <v>44720</v>
      </c>
      <c r="B159">
        <f t="shared" ca="1" si="2"/>
        <v>87872.036480833194</v>
      </c>
    </row>
    <row r="160" spans="1:2">
      <c r="A160" s="2">
        <v>44721</v>
      </c>
      <c r="B160">
        <f t="shared" ca="1" si="2"/>
        <v>-153027.74140100332</v>
      </c>
    </row>
    <row r="161" spans="1:2">
      <c r="A161" s="2">
        <v>44722</v>
      </c>
      <c r="B161">
        <f t="shared" ca="1" si="2"/>
        <v>136619.77732534919</v>
      </c>
    </row>
    <row r="162" spans="1:2">
      <c r="A162" s="2">
        <v>44723</v>
      </c>
      <c r="B162">
        <f t="shared" ca="1" si="2"/>
        <v>-6784.3470751598907</v>
      </c>
    </row>
    <row r="163" spans="1:2">
      <c r="A163" s="2">
        <v>44724</v>
      </c>
      <c r="B163">
        <f t="shared" ca="1" si="2"/>
        <v>-169463.97970586573</v>
      </c>
    </row>
    <row r="164" spans="1:2">
      <c r="A164" s="2">
        <v>44725</v>
      </c>
      <c r="B164">
        <f t="shared" ca="1" si="2"/>
        <v>-120101.90601191342</v>
      </c>
    </row>
    <row r="165" spans="1:2">
      <c r="A165" s="2">
        <v>44726</v>
      </c>
      <c r="B165">
        <f t="shared" ca="1" si="2"/>
        <v>-164733.58949546656</v>
      </c>
    </row>
    <row r="166" spans="1:2">
      <c r="A166" s="2">
        <v>44727</v>
      </c>
      <c r="B166">
        <f t="shared" ca="1" si="2"/>
        <v>-58465.284417275718</v>
      </c>
    </row>
    <row r="167" spans="1:2">
      <c r="A167" s="2">
        <v>44728</v>
      </c>
      <c r="B167">
        <f t="shared" ca="1" si="2"/>
        <v>181731.38642095609</v>
      </c>
    </row>
    <row r="168" spans="1:2">
      <c r="A168" s="2">
        <v>44729</v>
      </c>
      <c r="B168">
        <f t="shared" ca="1" si="2"/>
        <v>165335.8878484664</v>
      </c>
    </row>
    <row r="169" spans="1:2">
      <c r="A169" s="2">
        <v>44730</v>
      </c>
      <c r="B169">
        <f t="shared" ca="1" si="2"/>
        <v>71606.075739105843</v>
      </c>
    </row>
    <row r="170" spans="1:2">
      <c r="A170" s="2">
        <v>44731</v>
      </c>
      <c r="B170">
        <f t="shared" ca="1" si="2"/>
        <v>181338.76128525773</v>
      </c>
    </row>
    <row r="171" spans="1:2">
      <c r="A171" s="2">
        <v>44732</v>
      </c>
      <c r="B171">
        <f t="shared" ca="1" si="2"/>
        <v>169514.04047274269</v>
      </c>
    </row>
    <row r="172" spans="1:2">
      <c r="A172" s="2">
        <v>44733</v>
      </c>
      <c r="B172">
        <f t="shared" ca="1" si="2"/>
        <v>45157.998682967416</v>
      </c>
    </row>
    <row r="173" spans="1:2">
      <c r="A173" s="2">
        <v>44734</v>
      </c>
      <c r="B173">
        <f t="shared" ca="1" si="2"/>
        <v>86715.217012554072</v>
      </c>
    </row>
    <row r="174" spans="1:2">
      <c r="A174" s="2">
        <v>44735</v>
      </c>
      <c r="B174">
        <f t="shared" ca="1" si="2"/>
        <v>-196146.30949626956</v>
      </c>
    </row>
    <row r="175" spans="1:2">
      <c r="A175" s="2">
        <v>44736</v>
      </c>
      <c r="B175">
        <f t="shared" ca="1" si="2"/>
        <v>82783.174340200727</v>
      </c>
    </row>
    <row r="176" spans="1:2">
      <c r="A176" s="2">
        <v>44737</v>
      </c>
      <c r="B176">
        <f t="shared" ca="1" si="2"/>
        <v>121811.32180156857</v>
      </c>
    </row>
    <row r="177" spans="1:2">
      <c r="A177" s="2">
        <v>44738</v>
      </c>
      <c r="B177">
        <f t="shared" ca="1" si="2"/>
        <v>123587.30963389784</v>
      </c>
    </row>
    <row r="178" spans="1:2">
      <c r="A178" s="2">
        <v>44739</v>
      </c>
      <c r="B178">
        <f t="shared" ca="1" si="2"/>
        <v>38226.059593455728</v>
      </c>
    </row>
    <row r="179" spans="1:2">
      <c r="A179" s="2">
        <v>44740</v>
      </c>
      <c r="B179">
        <f t="shared" ca="1" si="2"/>
        <v>1316.6838322149931</v>
      </c>
    </row>
    <row r="180" spans="1:2">
      <c r="A180" s="2">
        <v>44741</v>
      </c>
      <c r="B180">
        <f t="shared" ca="1" si="2"/>
        <v>-89386.081836485464</v>
      </c>
    </row>
    <row r="181" spans="1:2">
      <c r="A181" s="2">
        <v>44742</v>
      </c>
      <c r="B181">
        <f t="shared" ca="1" si="2"/>
        <v>184112.87933999495</v>
      </c>
    </row>
    <row r="182" spans="1:2">
      <c r="A182" s="2">
        <v>44743</v>
      </c>
      <c r="B182">
        <f t="shared" ca="1" si="2"/>
        <v>68135.036979318902</v>
      </c>
    </row>
    <row r="183" spans="1:2">
      <c r="A183" s="2">
        <v>44744</v>
      </c>
      <c r="B183">
        <f t="shared" ca="1" si="2"/>
        <v>-93510.346958228576</v>
      </c>
    </row>
    <row r="184" spans="1:2">
      <c r="A184" s="2">
        <v>44745</v>
      </c>
      <c r="B184">
        <f t="shared" ca="1" si="2"/>
        <v>106676.41517513289</v>
      </c>
    </row>
    <row r="185" spans="1:2">
      <c r="A185" s="2">
        <v>44746</v>
      </c>
      <c r="B185">
        <f t="shared" ca="1" si="2"/>
        <v>175394.37488588612</v>
      </c>
    </row>
    <row r="186" spans="1:2">
      <c r="A186" s="2">
        <v>44747</v>
      </c>
      <c r="B186">
        <f t="shared" ca="1" si="2"/>
        <v>-44949.197934021431</v>
      </c>
    </row>
    <row r="187" spans="1:2">
      <c r="A187" s="2">
        <v>44748</v>
      </c>
      <c r="B187">
        <f t="shared" ca="1" si="2"/>
        <v>-59013.878822816194</v>
      </c>
    </row>
    <row r="188" spans="1:2">
      <c r="A188" s="2">
        <v>44749</v>
      </c>
      <c r="B188">
        <f t="shared" ca="1" si="2"/>
        <v>-147139.11140751699</v>
      </c>
    </row>
    <row r="189" spans="1:2">
      <c r="A189" s="2">
        <v>44750</v>
      </c>
      <c r="B189">
        <f t="shared" ca="1" si="2"/>
        <v>97560.900768256557</v>
      </c>
    </row>
    <row r="190" spans="1:2">
      <c r="A190" s="2">
        <v>44751</v>
      </c>
      <c r="B190">
        <f t="shared" ca="1" si="2"/>
        <v>-176763.50770510512</v>
      </c>
    </row>
    <row r="191" spans="1:2">
      <c r="A191" s="2">
        <v>44752</v>
      </c>
      <c r="B191">
        <f t="shared" ca="1" si="2"/>
        <v>137911.50437524644</v>
      </c>
    </row>
    <row r="192" spans="1:2">
      <c r="A192" s="2">
        <v>44753</v>
      </c>
      <c r="B192">
        <f t="shared" ca="1" si="2"/>
        <v>-163660.4545160282</v>
      </c>
    </row>
    <row r="193" spans="1:2">
      <c r="A193" s="2">
        <v>44754</v>
      </c>
      <c r="B193">
        <f t="shared" ca="1" si="2"/>
        <v>-125506.65436700359</v>
      </c>
    </row>
    <row r="194" spans="1:2">
      <c r="A194" s="2">
        <v>44755</v>
      </c>
      <c r="B194">
        <f t="shared" ref="B194:B257" ca="1" si="3">200000*(2*RAND()-1)</f>
        <v>-61300.323060138282</v>
      </c>
    </row>
    <row r="195" spans="1:2">
      <c r="A195" s="2">
        <v>44756</v>
      </c>
      <c r="B195">
        <f t="shared" ca="1" si="3"/>
        <v>125387.59029028981</v>
      </c>
    </row>
    <row r="196" spans="1:2">
      <c r="A196" s="2">
        <v>44757</v>
      </c>
      <c r="B196">
        <f t="shared" ca="1" si="3"/>
        <v>165978.3933187612</v>
      </c>
    </row>
    <row r="197" spans="1:2">
      <c r="A197" s="2">
        <v>44758</v>
      </c>
      <c r="B197">
        <f t="shared" ca="1" si="3"/>
        <v>-81768.122856520931</v>
      </c>
    </row>
    <row r="198" spans="1:2">
      <c r="A198" s="2">
        <v>44759</v>
      </c>
      <c r="B198">
        <f t="shared" ca="1" si="3"/>
        <v>43707.993317851156</v>
      </c>
    </row>
    <row r="199" spans="1:2">
      <c r="A199" s="2">
        <v>44760</v>
      </c>
      <c r="B199">
        <f t="shared" ca="1" si="3"/>
        <v>-134532.50825422062</v>
      </c>
    </row>
    <row r="200" spans="1:2">
      <c r="A200" s="2">
        <v>44761</v>
      </c>
      <c r="B200">
        <f t="shared" ca="1" si="3"/>
        <v>96124.542600858782</v>
      </c>
    </row>
    <row r="201" spans="1:2">
      <c r="A201" s="2">
        <v>44762</v>
      </c>
      <c r="B201">
        <f t="shared" ca="1" si="3"/>
        <v>46523.332223414691</v>
      </c>
    </row>
    <row r="202" spans="1:2">
      <c r="A202" s="2">
        <v>44763</v>
      </c>
      <c r="B202">
        <f t="shared" ca="1" si="3"/>
        <v>143237.52412068238</v>
      </c>
    </row>
    <row r="203" spans="1:2">
      <c r="A203" s="2">
        <v>44764</v>
      </c>
      <c r="B203">
        <f t="shared" ca="1" si="3"/>
        <v>83235.446467272573</v>
      </c>
    </row>
    <row r="204" spans="1:2">
      <c r="A204" s="2">
        <v>44765</v>
      </c>
      <c r="B204">
        <f t="shared" ca="1" si="3"/>
        <v>-168047.69100787188</v>
      </c>
    </row>
    <row r="205" spans="1:2">
      <c r="A205" s="2">
        <v>44766</v>
      </c>
      <c r="B205">
        <f t="shared" ca="1" si="3"/>
        <v>-40462.176543822716</v>
      </c>
    </row>
    <row r="206" spans="1:2">
      <c r="A206" s="2">
        <v>44767</v>
      </c>
      <c r="B206">
        <f t="shared" ca="1" si="3"/>
        <v>-190809.92556880473</v>
      </c>
    </row>
    <row r="207" spans="1:2">
      <c r="A207" s="2">
        <v>44768</v>
      </c>
      <c r="B207">
        <f t="shared" ca="1" si="3"/>
        <v>-21204.408863687619</v>
      </c>
    </row>
    <row r="208" spans="1:2">
      <c r="A208" s="2">
        <v>44769</v>
      </c>
      <c r="B208">
        <f t="shared" ca="1" si="3"/>
        <v>172291.01310592133</v>
      </c>
    </row>
    <row r="209" spans="1:2">
      <c r="A209" s="2">
        <v>44770</v>
      </c>
      <c r="B209">
        <f t="shared" ca="1" si="3"/>
        <v>-133342.79845271446</v>
      </c>
    </row>
    <row r="210" spans="1:2">
      <c r="A210" s="2">
        <v>44771</v>
      </c>
      <c r="B210">
        <f t="shared" ca="1" si="3"/>
        <v>132944.90759628438</v>
      </c>
    </row>
    <row r="211" spans="1:2">
      <c r="A211" s="2">
        <v>44772</v>
      </c>
      <c r="B211">
        <f t="shared" ca="1" si="3"/>
        <v>-197673.6306800177</v>
      </c>
    </row>
    <row r="212" spans="1:2">
      <c r="A212" s="2">
        <v>44773</v>
      </c>
      <c r="B212">
        <f t="shared" ca="1" si="3"/>
        <v>-93841.495519584932</v>
      </c>
    </row>
    <row r="213" spans="1:2">
      <c r="A213" s="2">
        <v>44774</v>
      </c>
      <c r="B213">
        <f t="shared" ca="1" si="3"/>
        <v>62936.711525299761</v>
      </c>
    </row>
    <row r="214" spans="1:2">
      <c r="A214" s="2">
        <v>44775</v>
      </c>
      <c r="B214">
        <f t="shared" ca="1" si="3"/>
        <v>-99781.998366629661</v>
      </c>
    </row>
    <row r="215" spans="1:2">
      <c r="A215" s="2">
        <v>44776</v>
      </c>
      <c r="B215">
        <f t="shared" ca="1" si="3"/>
        <v>55573.749361091497</v>
      </c>
    </row>
    <row r="216" spans="1:2">
      <c r="A216" s="2">
        <v>44777</v>
      </c>
      <c r="B216">
        <f t="shared" ca="1" si="3"/>
        <v>43053.386115143243</v>
      </c>
    </row>
    <row r="217" spans="1:2">
      <c r="A217" s="2">
        <v>44778</v>
      </c>
      <c r="B217">
        <f t="shared" ca="1" si="3"/>
        <v>-131835.5243514218</v>
      </c>
    </row>
    <row r="218" spans="1:2">
      <c r="A218" s="2">
        <v>44779</v>
      </c>
      <c r="B218">
        <f t="shared" ca="1" si="3"/>
        <v>-77934.279711085357</v>
      </c>
    </row>
    <row r="219" spans="1:2">
      <c r="A219" s="2">
        <v>44780</v>
      </c>
      <c r="B219">
        <f t="shared" ca="1" si="3"/>
        <v>60694.910095978114</v>
      </c>
    </row>
    <row r="220" spans="1:2">
      <c r="A220" s="2">
        <v>44781</v>
      </c>
      <c r="B220">
        <f t="shared" ca="1" si="3"/>
        <v>-11557.209764832211</v>
      </c>
    </row>
    <row r="221" spans="1:2">
      <c r="A221" s="2">
        <v>44782</v>
      </c>
      <c r="B221">
        <f t="shared" ca="1" si="3"/>
        <v>-23578.687089858973</v>
      </c>
    </row>
    <row r="222" spans="1:2">
      <c r="A222" s="2">
        <v>44783</v>
      </c>
      <c r="B222">
        <f t="shared" ca="1" si="3"/>
        <v>70498.858076004559</v>
      </c>
    </row>
    <row r="223" spans="1:2">
      <c r="A223" s="2">
        <v>44784</v>
      </c>
      <c r="B223">
        <f t="shared" ca="1" si="3"/>
        <v>39398.280166241275</v>
      </c>
    </row>
    <row r="224" spans="1:2">
      <c r="A224" s="2">
        <v>44785</v>
      </c>
      <c r="B224">
        <f t="shared" ca="1" si="3"/>
        <v>-190458.01655305139</v>
      </c>
    </row>
    <row r="225" spans="1:2">
      <c r="A225" s="2">
        <v>44786</v>
      </c>
      <c r="B225">
        <f t="shared" ca="1" si="3"/>
        <v>21857.318537298863</v>
      </c>
    </row>
    <row r="226" spans="1:2">
      <c r="A226" s="2">
        <v>44787</v>
      </c>
      <c r="B226">
        <f t="shared" ca="1" si="3"/>
        <v>-34448.824179195144</v>
      </c>
    </row>
    <row r="227" spans="1:2">
      <c r="A227" s="2">
        <v>44788</v>
      </c>
      <c r="B227">
        <f t="shared" ca="1" si="3"/>
        <v>58215.226896204396</v>
      </c>
    </row>
    <row r="228" spans="1:2">
      <c r="A228" s="2">
        <v>44789</v>
      </c>
      <c r="B228">
        <f t="shared" ca="1" si="3"/>
        <v>-59448.67990853497</v>
      </c>
    </row>
    <row r="229" spans="1:2">
      <c r="A229" s="2">
        <v>44790</v>
      </c>
      <c r="B229">
        <f t="shared" ca="1" si="3"/>
        <v>-190459.37929873227</v>
      </c>
    </row>
    <row r="230" spans="1:2">
      <c r="A230" s="2">
        <v>44791</v>
      </c>
      <c r="B230">
        <f t="shared" ca="1" si="3"/>
        <v>120813.9061696468</v>
      </c>
    </row>
    <row r="231" spans="1:2">
      <c r="A231" s="2">
        <v>44792</v>
      </c>
      <c r="B231">
        <f t="shared" ca="1" si="3"/>
        <v>12675.80456043218</v>
      </c>
    </row>
    <row r="232" spans="1:2">
      <c r="A232" s="2">
        <v>44793</v>
      </c>
      <c r="B232">
        <f t="shared" ca="1" si="3"/>
        <v>102641.25212068431</v>
      </c>
    </row>
    <row r="233" spans="1:2">
      <c r="A233" s="2">
        <v>44794</v>
      </c>
      <c r="B233">
        <f t="shared" ca="1" si="3"/>
        <v>188270.46143198694</v>
      </c>
    </row>
    <row r="234" spans="1:2">
      <c r="A234" s="2">
        <v>44795</v>
      </c>
      <c r="B234">
        <f t="shared" ca="1" si="3"/>
        <v>-79358.177416315986</v>
      </c>
    </row>
    <row r="235" spans="1:2">
      <c r="A235" s="2">
        <v>44796</v>
      </c>
      <c r="B235">
        <f t="shared" ca="1" si="3"/>
        <v>119401.14507359269</v>
      </c>
    </row>
    <row r="236" spans="1:2">
      <c r="A236" s="2">
        <v>44797</v>
      </c>
      <c r="B236">
        <f t="shared" ca="1" si="3"/>
        <v>51509.119538327708</v>
      </c>
    </row>
    <row r="237" spans="1:2">
      <c r="A237" s="2">
        <v>44798</v>
      </c>
      <c r="B237">
        <f t="shared" ca="1" si="3"/>
        <v>-103850.42491505883</v>
      </c>
    </row>
    <row r="238" spans="1:2">
      <c r="A238" s="2">
        <v>44799</v>
      </c>
      <c r="B238">
        <f t="shared" ca="1" si="3"/>
        <v>-23404.05836061441</v>
      </c>
    </row>
    <row r="239" spans="1:2">
      <c r="A239" s="2">
        <v>44800</v>
      </c>
      <c r="B239">
        <f t="shared" ca="1" si="3"/>
        <v>100487.4536940557</v>
      </c>
    </row>
    <row r="240" spans="1:2">
      <c r="A240" s="2">
        <v>44801</v>
      </c>
      <c r="B240">
        <f t="shared" ca="1" si="3"/>
        <v>-81448.357131288547</v>
      </c>
    </row>
    <row r="241" spans="1:2">
      <c r="A241" s="2">
        <v>44802</v>
      </c>
      <c r="B241">
        <f t="shared" ca="1" si="3"/>
        <v>58234.80221294357</v>
      </c>
    </row>
    <row r="242" spans="1:2">
      <c r="A242" s="2">
        <v>44803</v>
      </c>
      <c r="B242">
        <f t="shared" ca="1" si="3"/>
        <v>-157919.01351851903</v>
      </c>
    </row>
    <row r="243" spans="1:2">
      <c r="A243" s="2">
        <v>44804</v>
      </c>
      <c r="B243">
        <f t="shared" ca="1" si="3"/>
        <v>61644.794385514644</v>
      </c>
    </row>
    <row r="244" spans="1:2">
      <c r="A244" s="2">
        <v>44805</v>
      </c>
      <c r="B244">
        <f t="shared" ca="1" si="3"/>
        <v>150217.67660525657</v>
      </c>
    </row>
    <row r="245" spans="1:2">
      <c r="A245" s="2">
        <v>44806</v>
      </c>
      <c r="B245">
        <f t="shared" ca="1" si="3"/>
        <v>122146.28391359103</v>
      </c>
    </row>
    <row r="246" spans="1:2">
      <c r="A246" s="2">
        <v>44807</v>
      </c>
      <c r="B246">
        <f t="shared" ca="1" si="3"/>
        <v>1084.8934272559063</v>
      </c>
    </row>
    <row r="247" spans="1:2">
      <c r="A247" s="2">
        <v>44808</v>
      </c>
      <c r="B247">
        <f t="shared" ca="1" si="3"/>
        <v>-153528.1997702049</v>
      </c>
    </row>
    <row r="248" spans="1:2">
      <c r="A248" s="2">
        <v>44809</v>
      </c>
      <c r="B248">
        <f t="shared" ca="1" si="3"/>
        <v>-136291.25312592718</v>
      </c>
    </row>
    <row r="249" spans="1:2">
      <c r="A249" s="2">
        <v>44810</v>
      </c>
      <c r="B249">
        <f t="shared" ca="1" si="3"/>
        <v>173423.51756568369</v>
      </c>
    </row>
    <row r="250" spans="1:2">
      <c r="A250" s="2">
        <v>44811</v>
      </c>
      <c r="B250">
        <f t="shared" ca="1" si="3"/>
        <v>192706.66367500686</v>
      </c>
    </row>
    <row r="251" spans="1:2">
      <c r="A251" s="2">
        <v>44812</v>
      </c>
      <c r="B251">
        <f t="shared" ca="1" si="3"/>
        <v>160716.44358730764</v>
      </c>
    </row>
    <row r="252" spans="1:2">
      <c r="A252" s="2">
        <v>44813</v>
      </c>
      <c r="B252">
        <f t="shared" ca="1" si="3"/>
        <v>120078.72061280378</v>
      </c>
    </row>
    <row r="253" spans="1:2">
      <c r="A253" s="2">
        <v>44814</v>
      </c>
      <c r="B253">
        <f t="shared" ca="1" si="3"/>
        <v>138078.26997485303</v>
      </c>
    </row>
    <row r="254" spans="1:2">
      <c r="A254" s="2">
        <v>44815</v>
      </c>
      <c r="B254">
        <f t="shared" ca="1" si="3"/>
        <v>-170266.39166974436</v>
      </c>
    </row>
    <row r="255" spans="1:2">
      <c r="A255" s="2">
        <v>44816</v>
      </c>
      <c r="B255">
        <f t="shared" ca="1" si="3"/>
        <v>177927.93192134204</v>
      </c>
    </row>
    <row r="256" spans="1:2">
      <c r="A256" s="2">
        <v>44817</v>
      </c>
      <c r="B256">
        <f t="shared" ca="1" si="3"/>
        <v>186391.73221370738</v>
      </c>
    </row>
    <row r="257" spans="1:2">
      <c r="A257" s="2">
        <v>44818</v>
      </c>
      <c r="B257">
        <f t="shared" ca="1" si="3"/>
        <v>-83603.953425520274</v>
      </c>
    </row>
    <row r="258" spans="1:2">
      <c r="A258" s="2">
        <v>44819</v>
      </c>
      <c r="B258">
        <f t="shared" ref="B258:B321" ca="1" si="4">200000*(2*RAND()-1)</f>
        <v>165056.20725492705</v>
      </c>
    </row>
    <row r="259" spans="1:2">
      <c r="A259" s="2">
        <v>44820</v>
      </c>
      <c r="B259">
        <f t="shared" ca="1" si="4"/>
        <v>-93773.138054398238</v>
      </c>
    </row>
    <row r="260" spans="1:2">
      <c r="A260" s="2">
        <v>44821</v>
      </c>
      <c r="B260">
        <f t="shared" ca="1" si="4"/>
        <v>31887.468936559315</v>
      </c>
    </row>
    <row r="261" spans="1:2">
      <c r="A261" s="2">
        <v>44822</v>
      </c>
      <c r="B261">
        <f t="shared" ca="1" si="4"/>
        <v>-136804.41543867163</v>
      </c>
    </row>
    <row r="262" spans="1:2">
      <c r="A262" s="2">
        <v>44823</v>
      </c>
      <c r="B262">
        <f t="shared" ca="1" si="4"/>
        <v>-155925.16907839672</v>
      </c>
    </row>
    <row r="263" spans="1:2">
      <c r="A263" s="2">
        <v>44824</v>
      </c>
      <c r="B263">
        <f t="shared" ca="1" si="4"/>
        <v>38400.11366494753</v>
      </c>
    </row>
    <row r="264" spans="1:2">
      <c r="A264" s="2">
        <v>44825</v>
      </c>
      <c r="B264">
        <f t="shared" ca="1" si="4"/>
        <v>157559.31233814286</v>
      </c>
    </row>
    <row r="265" spans="1:2">
      <c r="A265" s="2">
        <v>44826</v>
      </c>
      <c r="B265">
        <f t="shared" ca="1" si="4"/>
        <v>2102.9555132209052</v>
      </c>
    </row>
    <row r="266" spans="1:2">
      <c r="A266" s="2">
        <v>44827</v>
      </c>
      <c r="B266">
        <f t="shared" ca="1" si="4"/>
        <v>20751.081601984468</v>
      </c>
    </row>
    <row r="267" spans="1:2">
      <c r="A267" s="2">
        <v>44828</v>
      </c>
      <c r="B267">
        <f t="shared" ca="1" si="4"/>
        <v>188360.61274988638</v>
      </c>
    </row>
    <row r="268" spans="1:2">
      <c r="A268" s="2">
        <v>44829</v>
      </c>
      <c r="B268">
        <f t="shared" ca="1" si="4"/>
        <v>-99736.387555201043</v>
      </c>
    </row>
    <row r="269" spans="1:2">
      <c r="A269" s="2">
        <v>44830</v>
      </c>
      <c r="B269">
        <f t="shared" ca="1" si="4"/>
        <v>177707.18649690531</v>
      </c>
    </row>
    <row r="270" spans="1:2">
      <c r="A270" s="2">
        <v>44831</v>
      </c>
      <c r="B270">
        <f t="shared" ca="1" si="4"/>
        <v>67603.676193733219</v>
      </c>
    </row>
    <row r="271" spans="1:2">
      <c r="A271" s="2">
        <v>44832</v>
      </c>
      <c r="B271">
        <f t="shared" ca="1" si="4"/>
        <v>-135248.15407661675</v>
      </c>
    </row>
    <row r="272" spans="1:2">
      <c r="A272" s="2">
        <v>44833</v>
      </c>
      <c r="B272">
        <f t="shared" ca="1" si="4"/>
        <v>-61199.799399506061</v>
      </c>
    </row>
    <row r="273" spans="1:2">
      <c r="A273" s="2">
        <v>44834</v>
      </c>
      <c r="B273">
        <f t="shared" ca="1" si="4"/>
        <v>-190169.21818329583</v>
      </c>
    </row>
    <row r="274" spans="1:2">
      <c r="A274" s="2">
        <v>44835</v>
      </c>
      <c r="B274">
        <f t="shared" ca="1" si="4"/>
        <v>-155442.28482314706</v>
      </c>
    </row>
    <row r="275" spans="1:2">
      <c r="A275" s="2">
        <v>44836</v>
      </c>
      <c r="B275">
        <f t="shared" ca="1" si="4"/>
        <v>107020.21907196486</v>
      </c>
    </row>
    <row r="276" spans="1:2">
      <c r="A276" s="2">
        <v>44837</v>
      </c>
      <c r="B276">
        <f t="shared" ca="1" si="4"/>
        <v>-190396.16815354754</v>
      </c>
    </row>
    <row r="277" spans="1:2">
      <c r="A277" s="2">
        <v>44838</v>
      </c>
      <c r="B277">
        <f t="shared" ca="1" si="4"/>
        <v>193754.38250999904</v>
      </c>
    </row>
    <row r="278" spans="1:2">
      <c r="A278" s="2">
        <v>44839</v>
      </c>
      <c r="B278">
        <f t="shared" ca="1" si="4"/>
        <v>198049.39428701304</v>
      </c>
    </row>
    <row r="279" spans="1:2">
      <c r="A279" s="2">
        <v>44840</v>
      </c>
      <c r="B279">
        <f t="shared" ca="1" si="4"/>
        <v>-198041.79650002028</v>
      </c>
    </row>
    <row r="280" spans="1:2">
      <c r="A280" s="2">
        <v>44841</v>
      </c>
      <c r="B280">
        <f t="shared" ca="1" si="4"/>
        <v>132760.31176792094</v>
      </c>
    </row>
    <row r="281" spans="1:2">
      <c r="A281" s="2">
        <v>44842</v>
      </c>
      <c r="B281">
        <f t="shared" ca="1" si="4"/>
        <v>-39940.481464110002</v>
      </c>
    </row>
    <row r="282" spans="1:2">
      <c r="A282" s="2">
        <v>44843</v>
      </c>
      <c r="B282">
        <f t="shared" ca="1" si="4"/>
        <v>23907.971142895512</v>
      </c>
    </row>
    <row r="283" spans="1:2">
      <c r="A283" s="2">
        <v>44844</v>
      </c>
      <c r="B283">
        <f t="shared" ca="1" si="4"/>
        <v>-182891.03900076347</v>
      </c>
    </row>
    <row r="284" spans="1:2">
      <c r="A284" s="2">
        <v>44845</v>
      </c>
      <c r="B284">
        <f t="shared" ca="1" si="4"/>
        <v>-181226.20827439503</v>
      </c>
    </row>
    <row r="285" spans="1:2">
      <c r="A285" s="2">
        <v>44846</v>
      </c>
      <c r="B285">
        <f t="shared" ca="1" si="4"/>
        <v>-5205.2844824924005</v>
      </c>
    </row>
    <row r="286" spans="1:2">
      <c r="A286" s="2">
        <v>44847</v>
      </c>
      <c r="B286">
        <f t="shared" ca="1" si="4"/>
        <v>187678.12207402312</v>
      </c>
    </row>
    <row r="287" spans="1:2">
      <c r="A287" s="2">
        <v>44848</v>
      </c>
      <c r="B287">
        <f t="shared" ca="1" si="4"/>
        <v>-39290.135494447401</v>
      </c>
    </row>
    <row r="288" spans="1:2">
      <c r="A288" s="2">
        <v>44849</v>
      </c>
      <c r="B288">
        <f t="shared" ca="1" si="4"/>
        <v>-191572.46950843668</v>
      </c>
    </row>
    <row r="289" spans="1:2">
      <c r="A289" s="2">
        <v>44850</v>
      </c>
      <c r="B289">
        <f t="shared" ca="1" si="4"/>
        <v>159149.2731938331</v>
      </c>
    </row>
    <row r="290" spans="1:2">
      <c r="A290" s="2">
        <v>44851</v>
      </c>
      <c r="B290">
        <f t="shared" ca="1" si="4"/>
        <v>-64859.401151556507</v>
      </c>
    </row>
    <row r="291" spans="1:2">
      <c r="A291" s="2">
        <v>44852</v>
      </c>
      <c r="B291">
        <f t="shared" ca="1" si="4"/>
        <v>-132646.19036825854</v>
      </c>
    </row>
    <row r="292" spans="1:2">
      <c r="A292" s="2">
        <v>44853</v>
      </c>
      <c r="B292">
        <f t="shared" ca="1" si="4"/>
        <v>-81335.060678800903</v>
      </c>
    </row>
    <row r="293" spans="1:2">
      <c r="A293" s="2">
        <v>44854</v>
      </c>
      <c r="B293">
        <f t="shared" ca="1" si="4"/>
        <v>-121651.28054799212</v>
      </c>
    </row>
    <row r="294" spans="1:2">
      <c r="A294" s="2">
        <v>44855</v>
      </c>
      <c r="B294">
        <f t="shared" ca="1" si="4"/>
        <v>134896.79599862799</v>
      </c>
    </row>
    <row r="295" spans="1:2">
      <c r="A295" s="2">
        <v>44856</v>
      </c>
      <c r="B295">
        <f t="shared" ca="1" si="4"/>
        <v>-132478.21529084494</v>
      </c>
    </row>
    <row r="296" spans="1:2">
      <c r="A296" s="2">
        <v>44857</v>
      </c>
      <c r="B296">
        <f t="shared" ca="1" si="4"/>
        <v>121628.9505150216</v>
      </c>
    </row>
    <row r="297" spans="1:2">
      <c r="A297" s="2">
        <v>44858</v>
      </c>
      <c r="B297">
        <f t="shared" ca="1" si="4"/>
        <v>193288.13938117202</v>
      </c>
    </row>
    <row r="298" spans="1:2">
      <c r="A298" s="2">
        <v>44859</v>
      </c>
      <c r="B298">
        <f t="shared" ca="1" si="4"/>
        <v>92940.262187793589</v>
      </c>
    </row>
    <row r="299" spans="1:2">
      <c r="A299" s="2">
        <v>44860</v>
      </c>
      <c r="B299">
        <f t="shared" ca="1" si="4"/>
        <v>23248.613337680403</v>
      </c>
    </row>
    <row r="300" spans="1:2">
      <c r="A300" s="2">
        <v>44861</v>
      </c>
      <c r="B300">
        <f t="shared" ca="1" si="4"/>
        <v>-193306.42422219028</v>
      </c>
    </row>
    <row r="301" spans="1:2">
      <c r="A301" s="2">
        <v>44862</v>
      </c>
      <c r="B301">
        <f t="shared" ca="1" si="4"/>
        <v>58327.373960239194</v>
      </c>
    </row>
    <row r="302" spans="1:2">
      <c r="A302" s="2">
        <v>44863</v>
      </c>
      <c r="B302">
        <f t="shared" ca="1" si="4"/>
        <v>172509.97694662309</v>
      </c>
    </row>
    <row r="303" spans="1:2">
      <c r="A303" s="2">
        <v>44864</v>
      </c>
      <c r="B303">
        <f t="shared" ca="1" si="4"/>
        <v>-66783.546430835238</v>
      </c>
    </row>
    <row r="304" spans="1:2">
      <c r="A304" s="2">
        <v>44865</v>
      </c>
      <c r="B304">
        <f t="shared" ca="1" si="4"/>
        <v>-151590.96023509483</v>
      </c>
    </row>
    <row r="305" spans="1:2">
      <c r="A305" s="2">
        <v>44866</v>
      </c>
      <c r="B305">
        <f t="shared" ca="1" si="4"/>
        <v>-121676.27973510866</v>
      </c>
    </row>
    <row r="306" spans="1:2">
      <c r="A306" s="2">
        <v>44867</v>
      </c>
      <c r="B306">
        <f t="shared" ca="1" si="4"/>
        <v>-80723.921320805443</v>
      </c>
    </row>
    <row r="307" spans="1:2">
      <c r="A307" s="2">
        <v>44868</v>
      </c>
      <c r="B307">
        <f t="shared" ca="1" si="4"/>
        <v>113108.94630137712</v>
      </c>
    </row>
    <row r="308" spans="1:2">
      <c r="A308" s="2">
        <v>44869</v>
      </c>
      <c r="B308">
        <f t="shared" ca="1" si="4"/>
        <v>-40954.878938787908</v>
      </c>
    </row>
    <row r="309" spans="1:2">
      <c r="A309" s="2">
        <v>44870</v>
      </c>
      <c r="B309">
        <f t="shared" ca="1" si="4"/>
        <v>164015.9846529522</v>
      </c>
    </row>
    <row r="310" spans="1:2">
      <c r="A310" s="2">
        <v>44871</v>
      </c>
      <c r="B310">
        <f t="shared" ca="1" si="4"/>
        <v>128123.14050930503</v>
      </c>
    </row>
    <row r="311" spans="1:2">
      <c r="A311" s="2">
        <v>44872</v>
      </c>
      <c r="B311">
        <f t="shared" ca="1" si="4"/>
        <v>182713.75469136029</v>
      </c>
    </row>
    <row r="312" spans="1:2">
      <c r="A312" s="2">
        <v>44873</v>
      </c>
      <c r="B312">
        <f t="shared" ca="1" si="4"/>
        <v>183280.14411800314</v>
      </c>
    </row>
    <row r="313" spans="1:2">
      <c r="A313" s="2">
        <v>44874</v>
      </c>
      <c r="B313">
        <f t="shared" ca="1" si="4"/>
        <v>-41081.918605291226</v>
      </c>
    </row>
    <row r="314" spans="1:2">
      <c r="A314" s="2">
        <v>44875</v>
      </c>
      <c r="B314">
        <f t="shared" ca="1" si="4"/>
        <v>-21346.307970778034</v>
      </c>
    </row>
    <row r="315" spans="1:2">
      <c r="A315" s="2">
        <v>44876</v>
      </c>
      <c r="B315">
        <f t="shared" ca="1" si="4"/>
        <v>-60692.086657652355</v>
      </c>
    </row>
    <row r="316" spans="1:2">
      <c r="A316" s="2">
        <v>44877</v>
      </c>
      <c r="B316">
        <f t="shared" ca="1" si="4"/>
        <v>-57688.767483252603</v>
      </c>
    </row>
    <row r="317" spans="1:2">
      <c r="A317" s="2">
        <v>44878</v>
      </c>
      <c r="B317">
        <f t="shared" ca="1" si="4"/>
        <v>-184795.13990046224</v>
      </c>
    </row>
    <row r="318" spans="1:2">
      <c r="A318" s="2">
        <v>44879</v>
      </c>
      <c r="B318">
        <f t="shared" ca="1" si="4"/>
        <v>137513.20597681898</v>
      </c>
    </row>
    <row r="319" spans="1:2">
      <c r="A319" s="2">
        <v>44880</v>
      </c>
      <c r="B319">
        <f t="shared" ca="1" si="4"/>
        <v>135050.59981764285</v>
      </c>
    </row>
    <row r="320" spans="1:2">
      <c r="A320" s="2">
        <v>44881</v>
      </c>
      <c r="B320">
        <f t="shared" ca="1" si="4"/>
        <v>99227.065063486909</v>
      </c>
    </row>
    <row r="321" spans="1:2">
      <c r="A321" s="2">
        <v>44882</v>
      </c>
      <c r="B321">
        <f t="shared" ca="1" si="4"/>
        <v>130969.05177758379</v>
      </c>
    </row>
    <row r="322" spans="1:2">
      <c r="A322" s="2">
        <v>44883</v>
      </c>
      <c r="B322">
        <f t="shared" ref="B322:B385" ca="1" si="5">200000*(2*RAND()-1)</f>
        <v>-167123.34257387451</v>
      </c>
    </row>
    <row r="323" spans="1:2">
      <c r="A323" s="2">
        <v>44884</v>
      </c>
      <c r="B323">
        <f t="shared" ca="1" si="5"/>
        <v>-69699.926472522304</v>
      </c>
    </row>
    <row r="324" spans="1:2">
      <c r="A324" s="2">
        <v>44885</v>
      </c>
      <c r="B324">
        <f t="shared" ca="1" si="5"/>
        <v>63338.50035504964</v>
      </c>
    </row>
    <row r="325" spans="1:2">
      <c r="A325" s="2">
        <v>44886</v>
      </c>
      <c r="B325">
        <f t="shared" ca="1" si="5"/>
        <v>-168458.12823662962</v>
      </c>
    </row>
    <row r="326" spans="1:2">
      <c r="A326" s="2">
        <v>44887</v>
      </c>
      <c r="B326">
        <f t="shared" ca="1" si="5"/>
        <v>30914.453722011047</v>
      </c>
    </row>
    <row r="327" spans="1:2">
      <c r="A327" s="2">
        <v>44888</v>
      </c>
      <c r="B327">
        <f t="shared" ca="1" si="5"/>
        <v>79045.603241765421</v>
      </c>
    </row>
    <row r="328" spans="1:2">
      <c r="A328" s="2">
        <v>44889</v>
      </c>
      <c r="B328">
        <f t="shared" ca="1" si="5"/>
        <v>-859.78168122387012</v>
      </c>
    </row>
    <row r="329" spans="1:2">
      <c r="A329" s="2">
        <v>44890</v>
      </c>
      <c r="B329">
        <f t="shared" ca="1" si="5"/>
        <v>37240.215181906147</v>
      </c>
    </row>
    <row r="330" spans="1:2">
      <c r="A330" s="2">
        <v>44891</v>
      </c>
      <c r="B330">
        <f t="shared" ca="1" si="5"/>
        <v>62827.182016806793</v>
      </c>
    </row>
    <row r="331" spans="1:2">
      <c r="A331" s="2">
        <v>44892</v>
      </c>
      <c r="B331">
        <f t="shared" ca="1" si="5"/>
        <v>141110.63819285526</v>
      </c>
    </row>
    <row r="332" spans="1:2">
      <c r="A332" s="2">
        <v>44893</v>
      </c>
      <c r="B332">
        <f t="shared" ca="1" si="5"/>
        <v>142079.34857058947</v>
      </c>
    </row>
    <row r="333" spans="1:2">
      <c r="A333" s="2">
        <v>44894</v>
      </c>
      <c r="B333">
        <f t="shared" ca="1" si="5"/>
        <v>178142.84861758232</v>
      </c>
    </row>
    <row r="334" spans="1:2">
      <c r="A334" s="2">
        <v>44895</v>
      </c>
      <c r="B334">
        <f t="shared" ca="1" si="5"/>
        <v>101058.15606941989</v>
      </c>
    </row>
    <row r="335" spans="1:2">
      <c r="A335" s="2">
        <v>44896</v>
      </c>
      <c r="B335">
        <f t="shared" ca="1" si="5"/>
        <v>70519.456219675907</v>
      </c>
    </row>
    <row r="336" spans="1:2">
      <c r="A336" s="2">
        <v>44897</v>
      </c>
      <c r="B336">
        <f t="shared" ca="1" si="5"/>
        <v>-131616.30382877684</v>
      </c>
    </row>
    <row r="337" spans="1:2">
      <c r="A337" s="2">
        <v>44898</v>
      </c>
      <c r="B337">
        <f t="shared" ca="1" si="5"/>
        <v>174196.79262709463</v>
      </c>
    </row>
    <row r="338" spans="1:2">
      <c r="A338" s="2">
        <v>44899</v>
      </c>
      <c r="B338">
        <f t="shared" ca="1" si="5"/>
        <v>148098.39491156529</v>
      </c>
    </row>
    <row r="339" spans="1:2">
      <c r="A339" s="2">
        <v>44900</v>
      </c>
      <c r="B339">
        <f t="shared" ca="1" si="5"/>
        <v>-65372.056764547582</v>
      </c>
    </row>
    <row r="340" spans="1:2">
      <c r="A340" s="2">
        <v>44901</v>
      </c>
      <c r="B340">
        <f t="shared" ca="1" si="5"/>
        <v>-78762.307651737996</v>
      </c>
    </row>
    <row r="341" spans="1:2">
      <c r="A341" s="2">
        <v>44902</v>
      </c>
      <c r="B341">
        <f t="shared" ca="1" si="5"/>
        <v>95380.485105449392</v>
      </c>
    </row>
    <row r="342" spans="1:2">
      <c r="A342" s="2">
        <v>44903</v>
      </c>
      <c r="B342">
        <f t="shared" ca="1" si="5"/>
        <v>-101229.57303180544</v>
      </c>
    </row>
    <row r="343" spans="1:2">
      <c r="A343" s="2">
        <v>44904</v>
      </c>
      <c r="B343">
        <f t="shared" ca="1" si="5"/>
        <v>-182796.97811343728</v>
      </c>
    </row>
    <row r="344" spans="1:2">
      <c r="A344" s="2">
        <v>44905</v>
      </c>
      <c r="B344">
        <f t="shared" ca="1" si="5"/>
        <v>-181907.67752754252</v>
      </c>
    </row>
    <row r="345" spans="1:2">
      <c r="A345" s="2">
        <v>44906</v>
      </c>
      <c r="B345">
        <f t="shared" ca="1" si="5"/>
        <v>75207.479527282703</v>
      </c>
    </row>
    <row r="346" spans="1:2">
      <c r="A346" s="2">
        <v>44907</v>
      </c>
      <c r="B346">
        <f t="shared" ca="1" si="5"/>
        <v>-77618.952611924193</v>
      </c>
    </row>
    <row r="347" spans="1:2">
      <c r="A347" s="2">
        <v>44908</v>
      </c>
      <c r="B347">
        <f t="shared" ca="1" si="5"/>
        <v>-163081.19487365388</v>
      </c>
    </row>
    <row r="348" spans="1:2">
      <c r="A348" s="2">
        <v>44909</v>
      </c>
      <c r="B348">
        <f t="shared" ca="1" si="5"/>
        <v>-174835.25079818757</v>
      </c>
    </row>
    <row r="349" spans="1:2">
      <c r="A349" s="2">
        <v>44910</v>
      </c>
      <c r="B349">
        <f t="shared" ca="1" si="5"/>
        <v>154370.96016509266</v>
      </c>
    </row>
    <row r="350" spans="1:2">
      <c r="A350" s="2">
        <v>44911</v>
      </c>
      <c r="B350">
        <f t="shared" ca="1" si="5"/>
        <v>-7876.3926042183293</v>
      </c>
    </row>
    <row r="351" spans="1:2">
      <c r="A351" s="2">
        <v>44912</v>
      </c>
      <c r="B351">
        <f t="shared" ca="1" si="5"/>
        <v>-12156.466251985876</v>
      </c>
    </row>
    <row r="352" spans="1:2">
      <c r="A352" s="2">
        <v>44913</v>
      </c>
      <c r="B352">
        <f t="shared" ca="1" si="5"/>
        <v>-137586.28676001466</v>
      </c>
    </row>
    <row r="353" spans="1:2">
      <c r="A353" s="2">
        <v>44914</v>
      </c>
      <c r="B353">
        <f t="shared" ca="1" si="5"/>
        <v>-92925.763257095678</v>
      </c>
    </row>
    <row r="354" spans="1:2">
      <c r="A354" s="2">
        <v>44915</v>
      </c>
      <c r="B354">
        <f t="shared" ca="1" si="5"/>
        <v>-31384.048697791211</v>
      </c>
    </row>
    <row r="355" spans="1:2">
      <c r="A355" s="2">
        <v>44916</v>
      </c>
      <c r="B355">
        <f t="shared" ca="1" si="5"/>
        <v>148710.22084797474</v>
      </c>
    </row>
    <row r="356" spans="1:2">
      <c r="A356" s="2">
        <v>44917</v>
      </c>
      <c r="B356">
        <f t="shared" ca="1" si="5"/>
        <v>-88739.065076301311</v>
      </c>
    </row>
    <row r="357" spans="1:2">
      <c r="A357" s="2">
        <v>44918</v>
      </c>
      <c r="B357">
        <f t="shared" ca="1" si="5"/>
        <v>190545.47980640386</v>
      </c>
    </row>
    <row r="358" spans="1:2">
      <c r="A358" s="2">
        <v>44919</v>
      </c>
      <c r="B358">
        <f t="shared" ca="1" si="5"/>
        <v>32722.93530823891</v>
      </c>
    </row>
    <row r="359" spans="1:2">
      <c r="A359" s="2">
        <v>44920</v>
      </c>
      <c r="B359">
        <f t="shared" ca="1" si="5"/>
        <v>62427.859007813822</v>
      </c>
    </row>
    <row r="360" spans="1:2">
      <c r="A360" s="2">
        <v>44921</v>
      </c>
      <c r="B360">
        <f t="shared" ca="1" si="5"/>
        <v>-92421.36946773401</v>
      </c>
    </row>
    <row r="361" spans="1:2">
      <c r="A361" s="2">
        <v>44922</v>
      </c>
      <c r="B361">
        <f t="shared" ca="1" si="5"/>
        <v>-104940.5764752036</v>
      </c>
    </row>
    <row r="362" spans="1:2">
      <c r="A362" s="2">
        <v>44923</v>
      </c>
      <c r="B362">
        <f t="shared" ca="1" si="5"/>
        <v>-198098.49020836144</v>
      </c>
    </row>
    <row r="363" spans="1:2">
      <c r="A363" s="2">
        <v>44924</v>
      </c>
      <c r="B363">
        <f t="shared" ca="1" si="5"/>
        <v>-192160.18872098206</v>
      </c>
    </row>
    <row r="364" spans="1:2">
      <c r="A364" s="2">
        <v>44925</v>
      </c>
      <c r="B364">
        <f t="shared" ca="1" si="5"/>
        <v>-43019.173845590289</v>
      </c>
    </row>
    <row r="365" spans="1:2">
      <c r="A365" s="2">
        <v>44926</v>
      </c>
      <c r="B365">
        <f t="shared" ca="1" si="5"/>
        <v>63703.037502073821</v>
      </c>
    </row>
    <row r="366" spans="1:2">
      <c r="A366" s="2">
        <v>44927</v>
      </c>
      <c r="B366">
        <f t="shared" ca="1" si="5"/>
        <v>-109771.01639699608</v>
      </c>
    </row>
    <row r="367" spans="1:2">
      <c r="A367" s="2">
        <v>44928</v>
      </c>
      <c r="B367">
        <f t="shared" ca="1" si="5"/>
        <v>167521.19199010593</v>
      </c>
    </row>
    <row r="368" spans="1:2">
      <c r="A368" s="2">
        <v>44929</v>
      </c>
      <c r="B368">
        <f t="shared" ca="1" si="5"/>
        <v>174301.56653311569</v>
      </c>
    </row>
    <row r="369" spans="1:2">
      <c r="A369" s="2">
        <v>44930</v>
      </c>
      <c r="B369">
        <f t="shared" ca="1" si="5"/>
        <v>-182022.41709268244</v>
      </c>
    </row>
    <row r="370" spans="1:2">
      <c r="A370" s="2">
        <v>44931</v>
      </c>
      <c r="B370">
        <f t="shared" ca="1" si="5"/>
        <v>-18798.498215105352</v>
      </c>
    </row>
    <row r="371" spans="1:2">
      <c r="A371" s="2">
        <v>44932</v>
      </c>
      <c r="B371">
        <f t="shared" ca="1" si="5"/>
        <v>-81140.364650216943</v>
      </c>
    </row>
    <row r="372" spans="1:2">
      <c r="A372" s="2">
        <v>44933</v>
      </c>
      <c r="B372">
        <f t="shared" ca="1" si="5"/>
        <v>90207.324259470581</v>
      </c>
    </row>
    <row r="373" spans="1:2">
      <c r="A373" s="2">
        <v>44934</v>
      </c>
      <c r="B373">
        <f t="shared" ca="1" si="5"/>
        <v>-138969.24083895219</v>
      </c>
    </row>
    <row r="374" spans="1:2">
      <c r="A374" s="2">
        <v>44935</v>
      </c>
      <c r="B374">
        <f t="shared" ca="1" si="5"/>
        <v>-96448.720772045737</v>
      </c>
    </row>
    <row r="375" spans="1:2">
      <c r="A375" s="2">
        <v>44936</v>
      </c>
      <c r="B375">
        <f t="shared" ca="1" si="5"/>
        <v>-152516.80464768462</v>
      </c>
    </row>
    <row r="376" spans="1:2">
      <c r="A376" s="2">
        <v>44937</v>
      </c>
      <c r="B376">
        <f t="shared" ca="1" si="5"/>
        <v>74560.719633356814</v>
      </c>
    </row>
    <row r="377" spans="1:2">
      <c r="A377" s="2">
        <v>44938</v>
      </c>
      <c r="B377">
        <f t="shared" ca="1" si="5"/>
        <v>186002.86675305266</v>
      </c>
    </row>
    <row r="378" spans="1:2">
      <c r="A378" s="2">
        <v>44939</v>
      </c>
      <c r="B378">
        <f t="shared" ca="1" si="5"/>
        <v>98057.431868851229</v>
      </c>
    </row>
    <row r="379" spans="1:2">
      <c r="A379" s="2">
        <v>44940</v>
      </c>
      <c r="B379">
        <f t="shared" ca="1" si="5"/>
        <v>128342.16250070508</v>
      </c>
    </row>
    <row r="380" spans="1:2">
      <c r="A380" s="2">
        <v>44941</v>
      </c>
      <c r="B380">
        <f t="shared" ca="1" si="5"/>
        <v>1386.4689784788275</v>
      </c>
    </row>
    <row r="381" spans="1:2">
      <c r="A381" s="2">
        <v>44942</v>
      </c>
      <c r="B381">
        <f t="shared" ca="1" si="5"/>
        <v>-21127.852955846738</v>
      </c>
    </row>
    <row r="382" spans="1:2">
      <c r="A382" s="2">
        <v>44943</v>
      </c>
      <c r="B382">
        <f t="shared" ca="1" si="5"/>
        <v>-145732.76917823037</v>
      </c>
    </row>
    <row r="383" spans="1:2">
      <c r="A383" s="2">
        <v>44944</v>
      </c>
      <c r="B383">
        <f t="shared" ca="1" si="5"/>
        <v>-84010.851318472618</v>
      </c>
    </row>
    <row r="384" spans="1:2">
      <c r="A384" s="2">
        <v>44945</v>
      </c>
      <c r="B384">
        <f t="shared" ca="1" si="5"/>
        <v>81834.318795238039</v>
      </c>
    </row>
    <row r="385" spans="1:2">
      <c r="A385" s="2">
        <v>44946</v>
      </c>
      <c r="B385">
        <f t="shared" ca="1" si="5"/>
        <v>75815.558520786435</v>
      </c>
    </row>
    <row r="386" spans="1:2">
      <c r="A386" s="2">
        <v>44947</v>
      </c>
      <c r="B386">
        <f t="shared" ref="B386:B449" ca="1" si="6">200000*(2*RAND()-1)</f>
        <v>136238.69243617309</v>
      </c>
    </row>
    <row r="387" spans="1:2">
      <c r="A387" s="2">
        <v>44948</v>
      </c>
      <c r="B387">
        <f t="shared" ca="1" si="6"/>
        <v>-139531.28986046041</v>
      </c>
    </row>
    <row r="388" spans="1:2">
      <c r="A388" s="2">
        <v>44949</v>
      </c>
      <c r="B388">
        <f t="shared" ca="1" si="6"/>
        <v>-191988.87229766583</v>
      </c>
    </row>
    <row r="389" spans="1:2">
      <c r="A389" s="2">
        <v>44950</v>
      </c>
      <c r="B389">
        <f t="shared" ca="1" si="6"/>
        <v>56353.406786285334</v>
      </c>
    </row>
    <row r="390" spans="1:2">
      <c r="A390" s="2">
        <v>44951</v>
      </c>
      <c r="B390">
        <f t="shared" ca="1" si="6"/>
        <v>-168940.9275894436</v>
      </c>
    </row>
    <row r="391" spans="1:2">
      <c r="A391" s="2">
        <v>44952</v>
      </c>
      <c r="B391">
        <f t="shared" ca="1" si="6"/>
        <v>150130.97057285244</v>
      </c>
    </row>
    <row r="392" spans="1:2">
      <c r="A392" s="2">
        <v>44953</v>
      </c>
      <c r="B392">
        <f t="shared" ca="1" si="6"/>
        <v>151051.31491655973</v>
      </c>
    </row>
    <row r="393" spans="1:2">
      <c r="A393" s="2">
        <v>44954</v>
      </c>
      <c r="B393">
        <f t="shared" ca="1" si="6"/>
        <v>38138.024990044396</v>
      </c>
    </row>
    <row r="394" spans="1:2">
      <c r="A394" s="2">
        <v>44955</v>
      </c>
      <c r="B394">
        <f t="shared" ca="1" si="6"/>
        <v>-32179.760735735741</v>
      </c>
    </row>
    <row r="395" spans="1:2">
      <c r="A395" s="2">
        <v>44956</v>
      </c>
      <c r="B395">
        <f t="shared" ca="1" si="6"/>
        <v>64252.046826415877</v>
      </c>
    </row>
    <row r="396" spans="1:2">
      <c r="A396" s="2">
        <v>44957</v>
      </c>
      <c r="B396">
        <f t="shared" ca="1" si="6"/>
        <v>-149222.93504445037</v>
      </c>
    </row>
    <row r="397" spans="1:2">
      <c r="A397" s="2">
        <v>44958</v>
      </c>
      <c r="B397">
        <f t="shared" ca="1" si="6"/>
        <v>119090.75165461669</v>
      </c>
    </row>
    <row r="398" spans="1:2">
      <c r="A398" s="2">
        <v>44959</v>
      </c>
      <c r="B398">
        <f t="shared" ca="1" si="6"/>
        <v>150570.40477401021</v>
      </c>
    </row>
    <row r="399" spans="1:2">
      <c r="A399" s="2">
        <v>44960</v>
      </c>
      <c r="B399">
        <f t="shared" ca="1" si="6"/>
        <v>-120184.02172294586</v>
      </c>
    </row>
    <row r="400" spans="1:2">
      <c r="A400" s="2">
        <v>44961</v>
      </c>
      <c r="B400">
        <f t="shared" ca="1" si="6"/>
        <v>-29156.895944117878</v>
      </c>
    </row>
    <row r="401" spans="1:2">
      <c r="A401" s="2">
        <v>44962</v>
      </c>
      <c r="B401">
        <f t="shared" ca="1" si="6"/>
        <v>-89031.553637847377</v>
      </c>
    </row>
    <row r="402" spans="1:2">
      <c r="A402" s="2">
        <v>44963</v>
      </c>
      <c r="B402">
        <f t="shared" ca="1" si="6"/>
        <v>-177740.17224693747</v>
      </c>
    </row>
    <row r="403" spans="1:2">
      <c r="A403" s="2">
        <v>44964</v>
      </c>
      <c r="B403">
        <f t="shared" ca="1" si="6"/>
        <v>-160785.57500384148</v>
      </c>
    </row>
    <row r="404" spans="1:2">
      <c r="A404" s="2">
        <v>44965</v>
      </c>
      <c r="B404">
        <f t="shared" ca="1" si="6"/>
        <v>-68318.900567859804</v>
      </c>
    </row>
    <row r="405" spans="1:2">
      <c r="A405" s="2">
        <v>44966</v>
      </c>
      <c r="B405">
        <f t="shared" ca="1" si="6"/>
        <v>105854.45336546439</v>
      </c>
    </row>
    <row r="406" spans="1:2">
      <c r="A406" s="2">
        <v>44967</v>
      </c>
      <c r="B406">
        <f t="shared" ca="1" si="6"/>
        <v>160928.50552365591</v>
      </c>
    </row>
    <row r="407" spans="1:2">
      <c r="A407" s="2">
        <v>44968</v>
      </c>
      <c r="B407">
        <f t="shared" ca="1" si="6"/>
        <v>-193486.81183004027</v>
      </c>
    </row>
    <row r="408" spans="1:2">
      <c r="A408" s="2">
        <v>44969</v>
      </c>
      <c r="B408">
        <f t="shared" ca="1" si="6"/>
        <v>-124935.56256341755</v>
      </c>
    </row>
    <row r="409" spans="1:2">
      <c r="A409" s="2">
        <v>44970</v>
      </c>
      <c r="B409">
        <f t="shared" ca="1" si="6"/>
        <v>62981.476395045851</v>
      </c>
    </row>
    <row r="410" spans="1:2">
      <c r="A410" s="2">
        <v>44971</v>
      </c>
      <c r="B410">
        <f t="shared" ca="1" si="6"/>
        <v>13695.64167061017</v>
      </c>
    </row>
    <row r="411" spans="1:2">
      <c r="A411" s="2">
        <v>44972</v>
      </c>
      <c r="B411">
        <f t="shared" ca="1" si="6"/>
        <v>-80766.697297001592</v>
      </c>
    </row>
    <row r="412" spans="1:2">
      <c r="A412" s="2">
        <v>44973</v>
      </c>
      <c r="B412">
        <f t="shared" ca="1" si="6"/>
        <v>170674.59823758871</v>
      </c>
    </row>
    <row r="413" spans="1:2">
      <c r="A413" s="2">
        <v>44974</v>
      </c>
      <c r="B413">
        <f t="shared" ca="1" si="6"/>
        <v>-26914.062682981443</v>
      </c>
    </row>
    <row r="414" spans="1:2">
      <c r="A414" s="2">
        <v>44975</v>
      </c>
      <c r="B414">
        <f t="shared" ca="1" si="6"/>
        <v>153053.39174298712</v>
      </c>
    </row>
    <row r="415" spans="1:2">
      <c r="A415" s="2">
        <v>44976</v>
      </c>
      <c r="B415">
        <f t="shared" ca="1" si="6"/>
        <v>56284.610858834225</v>
      </c>
    </row>
    <row r="416" spans="1:2">
      <c r="A416" s="2">
        <v>44977</v>
      </c>
      <c r="B416">
        <f t="shared" ca="1" si="6"/>
        <v>45945.778389590865</v>
      </c>
    </row>
    <row r="417" spans="1:2">
      <c r="A417" s="2">
        <v>44978</v>
      </c>
      <c r="B417">
        <f t="shared" ca="1" si="6"/>
        <v>-57296.430758460112</v>
      </c>
    </row>
    <row r="418" spans="1:2">
      <c r="A418" s="2">
        <v>44979</v>
      </c>
      <c r="B418">
        <f t="shared" ca="1" si="6"/>
        <v>-184155.1724317628</v>
      </c>
    </row>
    <row r="419" spans="1:2">
      <c r="A419" s="2">
        <v>44980</v>
      </c>
      <c r="B419">
        <f t="shared" ca="1" si="6"/>
        <v>-97110.499734393583</v>
      </c>
    </row>
    <row r="420" spans="1:2">
      <c r="A420" s="2">
        <v>44981</v>
      </c>
      <c r="B420">
        <f t="shared" ca="1" si="6"/>
        <v>153284.62669024704</v>
      </c>
    </row>
    <row r="421" spans="1:2">
      <c r="A421" s="2">
        <v>44982</v>
      </c>
      <c r="B421">
        <f t="shared" ca="1" si="6"/>
        <v>76814.884274243406</v>
      </c>
    </row>
    <row r="422" spans="1:2">
      <c r="A422" s="2">
        <v>44983</v>
      </c>
      <c r="B422">
        <f t="shared" ca="1" si="6"/>
        <v>32619.32076602805</v>
      </c>
    </row>
    <row r="423" spans="1:2">
      <c r="A423" s="2">
        <v>44984</v>
      </c>
      <c r="B423">
        <f t="shared" ca="1" si="6"/>
        <v>-12671.85087132674</v>
      </c>
    </row>
    <row r="424" spans="1:2">
      <c r="A424" s="2">
        <v>44985</v>
      </c>
      <c r="B424">
        <f t="shared" ca="1" si="6"/>
        <v>-149973.88521150837</v>
      </c>
    </row>
    <row r="425" spans="1:2">
      <c r="A425" s="2">
        <v>44986</v>
      </c>
      <c r="B425">
        <f t="shared" ca="1" si="6"/>
        <v>-180381.14383429469</v>
      </c>
    </row>
    <row r="426" spans="1:2">
      <c r="A426" s="2">
        <v>44987</v>
      </c>
      <c r="B426">
        <f t="shared" ca="1" si="6"/>
        <v>-174302.75281579446</v>
      </c>
    </row>
    <row r="427" spans="1:2">
      <c r="A427" s="2">
        <v>44988</v>
      </c>
      <c r="B427">
        <f t="shared" ca="1" si="6"/>
        <v>3910.8959068423042</v>
      </c>
    </row>
    <row r="428" spans="1:2">
      <c r="A428" s="2">
        <v>44989</v>
      </c>
      <c r="B428">
        <f t="shared" ca="1" si="6"/>
        <v>-45198.282843075431</v>
      </c>
    </row>
    <row r="429" spans="1:2">
      <c r="A429" s="2">
        <v>44990</v>
      </c>
      <c r="B429">
        <f t="shared" ca="1" si="6"/>
        <v>-105680.56635360925</v>
      </c>
    </row>
    <row r="430" spans="1:2">
      <c r="A430" s="2">
        <v>44991</v>
      </c>
      <c r="B430">
        <f t="shared" ca="1" si="6"/>
        <v>164438.72936997574</v>
      </c>
    </row>
    <row r="431" spans="1:2">
      <c r="A431" s="2">
        <v>44992</v>
      </c>
      <c r="B431">
        <f t="shared" ca="1" si="6"/>
        <v>64615.02374607564</v>
      </c>
    </row>
    <row r="432" spans="1:2">
      <c r="A432" s="2">
        <v>44993</v>
      </c>
      <c r="B432">
        <f t="shared" ca="1" si="6"/>
        <v>-73206.226273169465</v>
      </c>
    </row>
    <row r="433" spans="1:2">
      <c r="A433" s="2">
        <v>44994</v>
      </c>
      <c r="B433">
        <f t="shared" ca="1" si="6"/>
        <v>101926.90949989935</v>
      </c>
    </row>
    <row r="434" spans="1:2">
      <c r="A434" s="2">
        <v>44995</v>
      </c>
      <c r="B434">
        <f t="shared" ca="1" si="6"/>
        <v>160195.96354323818</v>
      </c>
    </row>
    <row r="435" spans="1:2">
      <c r="A435" s="2">
        <v>44996</v>
      </c>
      <c r="B435">
        <f t="shared" ca="1" si="6"/>
        <v>198998.34505035167</v>
      </c>
    </row>
    <row r="436" spans="1:2">
      <c r="A436" s="2">
        <v>44997</v>
      </c>
      <c r="B436">
        <f t="shared" ca="1" si="6"/>
        <v>-114233.66830749124</v>
      </c>
    </row>
    <row r="437" spans="1:2">
      <c r="A437" s="2">
        <v>44998</v>
      </c>
      <c r="B437">
        <f t="shared" ca="1" si="6"/>
        <v>-96236.620198166405</v>
      </c>
    </row>
    <row r="438" spans="1:2">
      <c r="A438" s="2">
        <v>44999</v>
      </c>
      <c r="B438">
        <f t="shared" ca="1" si="6"/>
        <v>67831.454309499866</v>
      </c>
    </row>
    <row r="439" spans="1:2">
      <c r="A439" s="2">
        <v>45000</v>
      </c>
      <c r="B439">
        <f t="shared" ca="1" si="6"/>
        <v>165172.11239079467</v>
      </c>
    </row>
    <row r="440" spans="1:2">
      <c r="A440" s="2">
        <v>45001</v>
      </c>
      <c r="B440">
        <f t="shared" ca="1" si="6"/>
        <v>-53536.422786146388</v>
      </c>
    </row>
    <row r="441" spans="1:2">
      <c r="A441" s="2">
        <v>45002</v>
      </c>
      <c r="B441">
        <f t="shared" ca="1" si="6"/>
        <v>-43542.700398286848</v>
      </c>
    </row>
    <row r="442" spans="1:2">
      <c r="A442" s="2">
        <v>45003</v>
      </c>
      <c r="B442">
        <f t="shared" ca="1" si="6"/>
        <v>133158.02588670354</v>
      </c>
    </row>
    <row r="443" spans="1:2">
      <c r="A443" s="2">
        <v>45004</v>
      </c>
      <c r="B443">
        <f t="shared" ca="1" si="6"/>
        <v>-198947.78893171626</v>
      </c>
    </row>
    <row r="444" spans="1:2">
      <c r="A444" s="2">
        <v>45005</v>
      </c>
      <c r="B444">
        <f t="shared" ca="1" si="6"/>
        <v>-142899.5978525336</v>
      </c>
    </row>
    <row r="445" spans="1:2">
      <c r="A445" s="2">
        <v>45006</v>
      </c>
      <c r="B445">
        <f t="shared" ca="1" si="6"/>
        <v>168290.64810251127</v>
      </c>
    </row>
    <row r="446" spans="1:2">
      <c r="A446" s="2">
        <v>45007</v>
      </c>
      <c r="B446">
        <f t="shared" ca="1" si="6"/>
        <v>111582.45713603176</v>
      </c>
    </row>
    <row r="447" spans="1:2">
      <c r="A447" s="2">
        <v>45008</v>
      </c>
      <c r="B447">
        <f t="shared" ca="1" si="6"/>
        <v>-115473.51501691651</v>
      </c>
    </row>
    <row r="448" spans="1:2">
      <c r="A448" s="2">
        <v>45009</v>
      </c>
      <c r="B448">
        <f t="shared" ca="1" si="6"/>
        <v>-159479.88178493016</v>
      </c>
    </row>
    <row r="449" spans="1:2">
      <c r="A449" s="2">
        <v>45010</v>
      </c>
      <c r="B449">
        <f t="shared" ca="1" si="6"/>
        <v>-27088.878599391199</v>
      </c>
    </row>
    <row r="450" spans="1:2">
      <c r="A450" s="2">
        <v>45011</v>
      </c>
      <c r="B450">
        <f t="shared" ref="B450:B513" ca="1" si="7">200000*(2*RAND()-1)</f>
        <v>70073.924571664655</v>
      </c>
    </row>
    <row r="451" spans="1:2">
      <c r="A451" s="2">
        <v>45012</v>
      </c>
      <c r="B451">
        <f t="shared" ca="1" si="7"/>
        <v>-76403.237188815081</v>
      </c>
    </row>
    <row r="452" spans="1:2">
      <c r="A452" s="2">
        <v>45013</v>
      </c>
      <c r="B452">
        <f t="shared" ca="1" si="7"/>
        <v>100891.21500521502</v>
      </c>
    </row>
    <row r="453" spans="1:2">
      <c r="A453" s="2">
        <v>45014</v>
      </c>
      <c r="B453">
        <f t="shared" ca="1" si="7"/>
        <v>-162789.13180428676</v>
      </c>
    </row>
    <row r="454" spans="1:2">
      <c r="A454" s="2">
        <v>45015</v>
      </c>
      <c r="B454">
        <f t="shared" ca="1" si="7"/>
        <v>120610.5939269154</v>
      </c>
    </row>
    <row r="455" spans="1:2">
      <c r="A455" s="2">
        <v>45016</v>
      </c>
      <c r="B455">
        <f t="shared" ca="1" si="7"/>
        <v>136197.18798576458</v>
      </c>
    </row>
    <row r="456" spans="1:2">
      <c r="A456" s="2">
        <v>45017</v>
      </c>
      <c r="B456">
        <f t="shared" ca="1" si="7"/>
        <v>64952.900155499548</v>
      </c>
    </row>
    <row r="457" spans="1:2">
      <c r="A457" s="2">
        <v>45018</v>
      </c>
      <c r="B457">
        <f t="shared" ca="1" si="7"/>
        <v>-73501.925087791693</v>
      </c>
    </row>
    <row r="458" spans="1:2">
      <c r="A458" s="2">
        <v>45019</v>
      </c>
      <c r="B458">
        <f t="shared" ca="1" si="7"/>
        <v>36558.763548859875</v>
      </c>
    </row>
    <row r="459" spans="1:2">
      <c r="A459" s="2">
        <v>45020</v>
      </c>
      <c r="B459">
        <f t="shared" ca="1" si="7"/>
        <v>-78650.341041747088</v>
      </c>
    </row>
    <row r="460" spans="1:2">
      <c r="A460" s="2">
        <v>45021</v>
      </c>
      <c r="B460">
        <f t="shared" ca="1" si="7"/>
        <v>152981.85243876828</v>
      </c>
    </row>
    <row r="461" spans="1:2">
      <c r="A461" s="2">
        <v>45022</v>
      </c>
      <c r="B461">
        <f t="shared" ca="1" si="7"/>
        <v>-44121.88032730393</v>
      </c>
    </row>
    <row r="462" spans="1:2">
      <c r="A462" s="2">
        <v>45023</v>
      </c>
      <c r="B462">
        <f t="shared" ca="1" si="7"/>
        <v>49202.379277510874</v>
      </c>
    </row>
    <row r="463" spans="1:2">
      <c r="A463" s="2">
        <v>45024</v>
      </c>
      <c r="B463">
        <f t="shared" ca="1" si="7"/>
        <v>97363.182567525859</v>
      </c>
    </row>
    <row r="464" spans="1:2">
      <c r="A464" s="2">
        <v>45025</v>
      </c>
      <c r="B464">
        <f t="shared" ca="1" si="7"/>
        <v>-43507.01399053185</v>
      </c>
    </row>
    <row r="465" spans="1:2">
      <c r="A465" s="2">
        <v>45026</v>
      </c>
      <c r="B465">
        <f t="shared" ca="1" si="7"/>
        <v>-848.98204815471172</v>
      </c>
    </row>
    <row r="466" spans="1:2">
      <c r="A466" s="2">
        <v>45027</v>
      </c>
      <c r="B466">
        <f t="shared" ca="1" si="7"/>
        <v>91722.205807822334</v>
      </c>
    </row>
    <row r="467" spans="1:2">
      <c r="A467" s="2">
        <v>45028</v>
      </c>
      <c r="B467">
        <f t="shared" ca="1" si="7"/>
        <v>-132136.42737244556</v>
      </c>
    </row>
    <row r="468" spans="1:2">
      <c r="A468" s="2">
        <v>45029</v>
      </c>
      <c r="B468">
        <f t="shared" ca="1" si="7"/>
        <v>-194007.15630685294</v>
      </c>
    </row>
    <row r="469" spans="1:2">
      <c r="A469" s="2">
        <v>45030</v>
      </c>
      <c r="B469">
        <f t="shared" ca="1" si="7"/>
        <v>133786.89840560866</v>
      </c>
    </row>
    <row r="470" spans="1:2">
      <c r="A470" s="2">
        <v>45031</v>
      </c>
      <c r="B470">
        <f t="shared" ca="1" si="7"/>
        <v>37278.570129789747</v>
      </c>
    </row>
    <row r="471" spans="1:2">
      <c r="A471" s="2">
        <v>45032</v>
      </c>
      <c r="B471">
        <f t="shared" ca="1" si="7"/>
        <v>-23739.862313027428</v>
      </c>
    </row>
    <row r="472" spans="1:2">
      <c r="A472" s="2">
        <v>45033</v>
      </c>
      <c r="B472">
        <f t="shared" ca="1" si="7"/>
        <v>145922.46353223041</v>
      </c>
    </row>
    <row r="473" spans="1:2">
      <c r="A473" s="2">
        <v>45034</v>
      </c>
      <c r="B473">
        <f t="shared" ca="1" si="7"/>
        <v>33339.939804318332</v>
      </c>
    </row>
    <row r="474" spans="1:2">
      <c r="A474" s="2">
        <v>45035</v>
      </c>
      <c r="B474">
        <f t="shared" ca="1" si="7"/>
        <v>-97025.09379385224</v>
      </c>
    </row>
    <row r="475" spans="1:2">
      <c r="A475" s="2">
        <v>45036</v>
      </c>
      <c r="B475">
        <f t="shared" ca="1" si="7"/>
        <v>-50526.100463161951</v>
      </c>
    </row>
    <row r="476" spans="1:2">
      <c r="A476" s="2">
        <v>45037</v>
      </c>
      <c r="B476">
        <f t="shared" ca="1" si="7"/>
        <v>-18244.081394513811</v>
      </c>
    </row>
    <row r="477" spans="1:2">
      <c r="A477" s="2">
        <v>45038</v>
      </c>
      <c r="B477">
        <f t="shared" ca="1" si="7"/>
        <v>1204.0005418878509</v>
      </c>
    </row>
    <row r="478" spans="1:2">
      <c r="A478" s="2">
        <v>45039</v>
      </c>
      <c r="B478">
        <f t="shared" ca="1" si="7"/>
        <v>-48159.10850906375</v>
      </c>
    </row>
    <row r="479" spans="1:2">
      <c r="A479" s="2">
        <v>45040</v>
      </c>
      <c r="B479">
        <f t="shared" ca="1" si="7"/>
        <v>-35456.288680899692</v>
      </c>
    </row>
    <row r="480" spans="1:2">
      <c r="A480" s="2">
        <v>45041</v>
      </c>
      <c r="B480">
        <f t="shared" ca="1" si="7"/>
        <v>184424.88884713617</v>
      </c>
    </row>
    <row r="481" spans="1:2">
      <c r="A481" s="2">
        <v>45042</v>
      </c>
      <c r="B481">
        <f t="shared" ca="1" si="7"/>
        <v>92811.76386861816</v>
      </c>
    </row>
    <row r="482" spans="1:2">
      <c r="A482" s="2">
        <v>45043</v>
      </c>
      <c r="B482">
        <f t="shared" ca="1" si="7"/>
        <v>-170679.13499697117</v>
      </c>
    </row>
    <row r="483" spans="1:2">
      <c r="A483" s="2">
        <v>45044</v>
      </c>
      <c r="B483">
        <f t="shared" ca="1" si="7"/>
        <v>112063.8341294454</v>
      </c>
    </row>
    <row r="484" spans="1:2">
      <c r="A484" s="2">
        <v>45045</v>
      </c>
      <c r="B484">
        <f t="shared" ca="1" si="7"/>
        <v>-104921.34547833189</v>
      </c>
    </row>
    <row r="485" spans="1:2">
      <c r="A485" s="2">
        <v>45046</v>
      </c>
      <c r="B485">
        <f t="shared" ca="1" si="7"/>
        <v>-101467.85303640952</v>
      </c>
    </row>
    <row r="486" spans="1:2">
      <c r="A486" s="2">
        <v>45047</v>
      </c>
      <c r="B486">
        <f t="shared" ca="1" si="7"/>
        <v>62376.770010277745</v>
      </c>
    </row>
    <row r="487" spans="1:2">
      <c r="A487" s="2">
        <v>45048</v>
      </c>
      <c r="B487">
        <f t="shared" ca="1" si="7"/>
        <v>51399.914596359733</v>
      </c>
    </row>
    <row r="488" spans="1:2">
      <c r="A488" s="2">
        <v>45049</v>
      </c>
      <c r="B488">
        <f t="shared" ca="1" si="7"/>
        <v>-183276.15269176022</v>
      </c>
    </row>
    <row r="489" spans="1:2">
      <c r="A489" s="2">
        <v>45050</v>
      </c>
      <c r="B489">
        <f t="shared" ca="1" si="7"/>
        <v>-22408.688954153135</v>
      </c>
    </row>
    <row r="490" spans="1:2">
      <c r="A490" s="2">
        <v>45051</v>
      </c>
      <c r="B490">
        <f t="shared" ca="1" si="7"/>
        <v>-106191.78019259055</v>
      </c>
    </row>
    <row r="491" spans="1:2">
      <c r="A491" s="2">
        <v>45052</v>
      </c>
      <c r="B491">
        <f t="shared" ca="1" si="7"/>
        <v>93980.770408981232</v>
      </c>
    </row>
    <row r="492" spans="1:2">
      <c r="A492" s="2">
        <v>45053</v>
      </c>
      <c r="B492">
        <f t="shared" ca="1" si="7"/>
        <v>-118203.38295106718</v>
      </c>
    </row>
    <row r="493" spans="1:2">
      <c r="A493" s="2">
        <v>45054</v>
      </c>
      <c r="B493">
        <f t="shared" ca="1" si="7"/>
        <v>-55739.437477260042</v>
      </c>
    </row>
    <row r="494" spans="1:2">
      <c r="A494" s="2">
        <v>45055</v>
      </c>
      <c r="B494">
        <f t="shared" ca="1" si="7"/>
        <v>41720.809409701775</v>
      </c>
    </row>
    <row r="495" spans="1:2">
      <c r="A495" s="2">
        <v>45056</v>
      </c>
      <c r="B495">
        <f t="shared" ca="1" si="7"/>
        <v>-184158.19862028671</v>
      </c>
    </row>
    <row r="496" spans="1:2">
      <c r="A496" s="2">
        <v>45057</v>
      </c>
      <c r="B496">
        <f t="shared" ca="1" si="7"/>
        <v>48606.118616958534</v>
      </c>
    </row>
    <row r="497" spans="1:2">
      <c r="A497" s="2">
        <v>45058</v>
      </c>
      <c r="B497">
        <f t="shared" ca="1" si="7"/>
        <v>-69127.636098210933</v>
      </c>
    </row>
    <row r="498" spans="1:2">
      <c r="A498" s="2">
        <v>45059</v>
      </c>
      <c r="B498">
        <f t="shared" ca="1" si="7"/>
        <v>198779.20853504786</v>
      </c>
    </row>
    <row r="499" spans="1:2">
      <c r="A499" s="2">
        <v>45060</v>
      </c>
      <c r="B499">
        <f t="shared" ca="1" si="7"/>
        <v>136860.99622677107</v>
      </c>
    </row>
    <row r="500" spans="1:2">
      <c r="A500" s="2">
        <v>45061</v>
      </c>
      <c r="B500">
        <f t="shared" ca="1" si="7"/>
        <v>70822.402345565031</v>
      </c>
    </row>
    <row r="501" spans="1:2">
      <c r="A501" s="2">
        <v>45062</v>
      </c>
      <c r="B501">
        <f t="shared" ca="1" si="7"/>
        <v>135731.00689906749</v>
      </c>
    </row>
    <row r="502" spans="1:2">
      <c r="A502" s="2">
        <v>45063</v>
      </c>
      <c r="B502">
        <f t="shared" ca="1" si="7"/>
        <v>-143604.3366180975</v>
      </c>
    </row>
    <row r="503" spans="1:2">
      <c r="A503" s="2">
        <v>45064</v>
      </c>
      <c r="B503">
        <f t="shared" ca="1" si="7"/>
        <v>-183797.48706865625</v>
      </c>
    </row>
    <row r="504" spans="1:2">
      <c r="A504" s="2">
        <v>45065</v>
      </c>
      <c r="B504">
        <f t="shared" ca="1" si="7"/>
        <v>161558.49831553581</v>
      </c>
    </row>
    <row r="505" spans="1:2">
      <c r="A505" s="2">
        <v>45066</v>
      </c>
      <c r="B505">
        <f t="shared" ca="1" si="7"/>
        <v>-58092.911300730062</v>
      </c>
    </row>
    <row r="506" spans="1:2">
      <c r="A506" s="2">
        <v>45067</v>
      </c>
      <c r="B506">
        <f t="shared" ca="1" si="7"/>
        <v>108919.8932223594</v>
      </c>
    </row>
    <row r="507" spans="1:2">
      <c r="A507" s="2">
        <v>45068</v>
      </c>
      <c r="B507">
        <f t="shared" ca="1" si="7"/>
        <v>199715.54366272216</v>
      </c>
    </row>
    <row r="508" spans="1:2">
      <c r="A508" s="2">
        <v>45069</v>
      </c>
      <c r="B508">
        <f t="shared" ca="1" si="7"/>
        <v>152209.78132433136</v>
      </c>
    </row>
    <row r="509" spans="1:2">
      <c r="A509" s="2">
        <v>45070</v>
      </c>
      <c r="B509">
        <f t="shared" ca="1" si="7"/>
        <v>-19266.097806452854</v>
      </c>
    </row>
    <row r="510" spans="1:2">
      <c r="A510" s="2">
        <v>45071</v>
      </c>
      <c r="B510">
        <f t="shared" ca="1" si="7"/>
        <v>-2751.290797457706</v>
      </c>
    </row>
    <row r="511" spans="1:2">
      <c r="A511" s="2">
        <v>45072</v>
      </c>
      <c r="B511">
        <f t="shared" ca="1" si="7"/>
        <v>86502.816854534889</v>
      </c>
    </row>
    <row r="512" spans="1:2">
      <c r="A512" s="2">
        <v>45073</v>
      </c>
      <c r="B512">
        <f t="shared" ca="1" si="7"/>
        <v>-154357.38293971153</v>
      </c>
    </row>
    <row r="513" spans="1:2">
      <c r="A513" s="2">
        <v>45074</v>
      </c>
      <c r="B513">
        <f t="shared" ca="1" si="7"/>
        <v>-8400.9010631329147</v>
      </c>
    </row>
    <row r="514" spans="1:2">
      <c r="A514" s="2">
        <v>45075</v>
      </c>
      <c r="B514">
        <f t="shared" ref="B514:B577" ca="1" si="8">200000*(2*RAND()-1)</f>
        <v>12999.873267945361</v>
      </c>
    </row>
    <row r="515" spans="1:2">
      <c r="A515" s="2">
        <v>45076</v>
      </c>
      <c r="B515">
        <f t="shared" ca="1" si="8"/>
        <v>3889.0701947360994</v>
      </c>
    </row>
    <row r="516" spans="1:2">
      <c r="A516" s="2">
        <v>45077</v>
      </c>
      <c r="B516">
        <f t="shared" ca="1" si="8"/>
        <v>156970.13539487138</v>
      </c>
    </row>
    <row r="517" spans="1:2">
      <c r="A517" s="2">
        <v>45078</v>
      </c>
      <c r="B517">
        <f t="shared" ca="1" si="8"/>
        <v>37999.784583702298</v>
      </c>
    </row>
    <row r="518" spans="1:2">
      <c r="A518" s="2">
        <v>45079</v>
      </c>
      <c r="B518">
        <f t="shared" ca="1" si="8"/>
        <v>-97021.664794880722</v>
      </c>
    </row>
    <row r="519" spans="1:2">
      <c r="A519" s="2">
        <v>45080</v>
      </c>
      <c r="B519">
        <f t="shared" ca="1" si="8"/>
        <v>122228.96578518294</v>
      </c>
    </row>
    <row r="520" spans="1:2">
      <c r="A520" s="2">
        <v>45081</v>
      </c>
      <c r="B520">
        <f t="shared" ca="1" si="8"/>
        <v>-134397.17837741037</v>
      </c>
    </row>
    <row r="521" spans="1:2">
      <c r="A521" s="2">
        <v>45082</v>
      </c>
      <c r="B521">
        <f t="shared" ca="1" si="8"/>
        <v>118978.92602523977</v>
      </c>
    </row>
    <row r="522" spans="1:2">
      <c r="A522" s="2">
        <v>45083</v>
      </c>
      <c r="B522">
        <f t="shared" ca="1" si="8"/>
        <v>92974.087698808333</v>
      </c>
    </row>
    <row r="523" spans="1:2">
      <c r="A523" s="2">
        <v>45084</v>
      </c>
      <c r="B523">
        <f t="shared" ca="1" si="8"/>
        <v>11193.482448596325</v>
      </c>
    </row>
    <row r="524" spans="1:2">
      <c r="A524" s="2">
        <v>45085</v>
      </c>
      <c r="B524">
        <f t="shared" ca="1" si="8"/>
        <v>165461.49903417323</v>
      </c>
    </row>
    <row r="525" spans="1:2">
      <c r="A525" s="2">
        <v>45086</v>
      </c>
      <c r="B525">
        <f t="shared" ca="1" si="8"/>
        <v>17680.245494175793</v>
      </c>
    </row>
    <row r="526" spans="1:2">
      <c r="A526" s="2">
        <v>45087</v>
      </c>
      <c r="B526">
        <f t="shared" ca="1" si="8"/>
        <v>164749.00612973727</v>
      </c>
    </row>
    <row r="527" spans="1:2">
      <c r="A527" s="2">
        <v>45088</v>
      </c>
      <c r="B527">
        <f t="shared" ca="1" si="8"/>
        <v>181810.89196012463</v>
      </c>
    </row>
    <row r="528" spans="1:2">
      <c r="A528" s="2">
        <v>45089</v>
      </c>
      <c r="B528">
        <f t="shared" ca="1" si="8"/>
        <v>187764.82119505538</v>
      </c>
    </row>
    <row r="529" spans="1:2">
      <c r="A529" s="2">
        <v>45090</v>
      </c>
      <c r="B529">
        <f t="shared" ca="1" si="8"/>
        <v>4752.8832408515245</v>
      </c>
    </row>
    <row r="530" spans="1:2">
      <c r="A530" s="2">
        <v>45091</v>
      </c>
      <c r="B530">
        <f t="shared" ca="1" si="8"/>
        <v>177419.02179761126</v>
      </c>
    </row>
    <row r="531" spans="1:2">
      <c r="A531" s="2">
        <v>45092</v>
      </c>
      <c r="B531">
        <f t="shared" ca="1" si="8"/>
        <v>-169477.0100651017</v>
      </c>
    </row>
    <row r="532" spans="1:2">
      <c r="A532" s="2">
        <v>45093</v>
      </c>
      <c r="B532">
        <f t="shared" ca="1" si="8"/>
        <v>103854.33087065068</v>
      </c>
    </row>
    <row r="533" spans="1:2">
      <c r="A533" s="2">
        <v>45094</v>
      </c>
      <c r="B533">
        <f t="shared" ca="1" si="8"/>
        <v>-50661.022063055847</v>
      </c>
    </row>
    <row r="534" spans="1:2">
      <c r="A534" s="2">
        <v>45095</v>
      </c>
      <c r="B534">
        <f t="shared" ca="1" si="8"/>
        <v>173067.14039949345</v>
      </c>
    </row>
    <row r="535" spans="1:2">
      <c r="A535" s="2">
        <v>45096</v>
      </c>
      <c r="B535">
        <f t="shared" ca="1" si="8"/>
        <v>145985.20561371156</v>
      </c>
    </row>
    <row r="536" spans="1:2">
      <c r="A536" s="2">
        <v>45097</v>
      </c>
      <c r="B536">
        <f t="shared" ca="1" si="8"/>
        <v>152109.63433390376</v>
      </c>
    </row>
    <row r="537" spans="1:2">
      <c r="A537" s="2">
        <v>45098</v>
      </c>
      <c r="B537">
        <f t="shared" ca="1" si="8"/>
        <v>153790.77820450425</v>
      </c>
    </row>
    <row r="538" spans="1:2">
      <c r="A538" s="2">
        <v>45099</v>
      </c>
      <c r="B538">
        <f t="shared" ca="1" si="8"/>
        <v>-81354.056828080575</v>
      </c>
    </row>
    <row r="539" spans="1:2">
      <c r="A539" s="2">
        <v>45100</v>
      </c>
      <c r="B539">
        <f t="shared" ca="1" si="8"/>
        <v>174566.44919913105</v>
      </c>
    </row>
    <row r="540" spans="1:2">
      <c r="A540" s="2">
        <v>45101</v>
      </c>
      <c r="B540">
        <f t="shared" ca="1" si="8"/>
        <v>-85538.115139094691</v>
      </c>
    </row>
    <row r="541" spans="1:2">
      <c r="A541" s="2">
        <v>45102</v>
      </c>
      <c r="B541">
        <f t="shared" ca="1" si="8"/>
        <v>-93812.979969098538</v>
      </c>
    </row>
    <row r="542" spans="1:2">
      <c r="A542" s="2">
        <v>45103</v>
      </c>
      <c r="B542">
        <f t="shared" ca="1" si="8"/>
        <v>83232.109858371216</v>
      </c>
    </row>
    <row r="543" spans="1:2">
      <c r="A543" s="2">
        <v>45104</v>
      </c>
      <c r="B543">
        <f t="shared" ca="1" si="8"/>
        <v>138432.74113400769</v>
      </c>
    </row>
    <row r="544" spans="1:2">
      <c r="A544" s="2">
        <v>45105</v>
      </c>
      <c r="B544">
        <f t="shared" ca="1" si="8"/>
        <v>-189074.78682786669</v>
      </c>
    </row>
    <row r="545" spans="1:2">
      <c r="A545" s="2">
        <v>45106</v>
      </c>
      <c r="B545">
        <f t="shared" ca="1" si="8"/>
        <v>-51509.932319463078</v>
      </c>
    </row>
    <row r="546" spans="1:2">
      <c r="A546" s="2">
        <v>45107</v>
      </c>
      <c r="B546">
        <f t="shared" ca="1" si="8"/>
        <v>-98217.619105250269</v>
      </c>
    </row>
    <row r="547" spans="1:2">
      <c r="A547" s="2">
        <v>45108</v>
      </c>
      <c r="B547">
        <f t="shared" ca="1" si="8"/>
        <v>-32655.42166204569</v>
      </c>
    </row>
    <row r="548" spans="1:2">
      <c r="A548" s="2">
        <v>45109</v>
      </c>
      <c r="B548">
        <f t="shared" ca="1" si="8"/>
        <v>36043.978783869956</v>
      </c>
    </row>
    <row r="549" spans="1:2">
      <c r="A549" s="2">
        <v>45110</v>
      </c>
      <c r="B549">
        <f t="shared" ca="1" si="8"/>
        <v>-30674.761053032151</v>
      </c>
    </row>
    <row r="550" spans="1:2">
      <c r="A550" s="2">
        <v>45111</v>
      </c>
      <c r="B550">
        <f t="shared" ca="1" si="8"/>
        <v>-26894.534001271088</v>
      </c>
    </row>
    <row r="551" spans="1:2">
      <c r="A551" s="2">
        <v>45112</v>
      </c>
      <c r="B551">
        <f t="shared" ca="1" si="8"/>
        <v>43430.258242849632</v>
      </c>
    </row>
    <row r="552" spans="1:2">
      <c r="A552" s="2">
        <v>45113</v>
      </c>
      <c r="B552">
        <f t="shared" ca="1" si="8"/>
        <v>11003.342932282934</v>
      </c>
    </row>
    <row r="553" spans="1:2">
      <c r="A553" s="2">
        <v>45114</v>
      </c>
      <c r="B553">
        <f t="shared" ca="1" si="8"/>
        <v>-29434.431032402928</v>
      </c>
    </row>
    <row r="554" spans="1:2">
      <c r="A554" s="2">
        <v>45115</v>
      </c>
      <c r="B554">
        <f t="shared" ca="1" si="8"/>
        <v>118615.9049847844</v>
      </c>
    </row>
    <row r="555" spans="1:2">
      <c r="A555" s="2">
        <v>45116</v>
      </c>
      <c r="B555">
        <f t="shared" ca="1" si="8"/>
        <v>-110745.2729699867</v>
      </c>
    </row>
    <row r="556" spans="1:2">
      <c r="A556" s="2">
        <v>45117</v>
      </c>
      <c r="B556">
        <f t="shared" ca="1" si="8"/>
        <v>112388.48519714449</v>
      </c>
    </row>
    <row r="557" spans="1:2">
      <c r="A557" s="2">
        <v>45118</v>
      </c>
      <c r="B557">
        <f t="shared" ca="1" si="8"/>
        <v>40160.166050270927</v>
      </c>
    </row>
    <row r="558" spans="1:2">
      <c r="A558" s="2">
        <v>45119</v>
      </c>
      <c r="B558">
        <f t="shared" ca="1" si="8"/>
        <v>127462.20690203166</v>
      </c>
    </row>
    <row r="559" spans="1:2">
      <c r="A559" s="2">
        <v>45120</v>
      </c>
      <c r="B559">
        <f t="shared" ca="1" si="8"/>
        <v>68662.310523563225</v>
      </c>
    </row>
    <row r="560" spans="1:2">
      <c r="A560" s="2">
        <v>45121</v>
      </c>
      <c r="B560">
        <f t="shared" ca="1" si="8"/>
        <v>127572.4451131544</v>
      </c>
    </row>
    <row r="561" spans="1:2">
      <c r="A561" s="2">
        <v>45122</v>
      </c>
      <c r="B561">
        <f t="shared" ca="1" si="8"/>
        <v>40551.184511767337</v>
      </c>
    </row>
    <row r="562" spans="1:2">
      <c r="A562" s="2">
        <v>45123</v>
      </c>
      <c r="B562">
        <f t="shared" ca="1" si="8"/>
        <v>-95830.345064623674</v>
      </c>
    </row>
    <row r="563" spans="1:2">
      <c r="A563" s="2">
        <v>45124</v>
      </c>
      <c r="B563">
        <f t="shared" ca="1" si="8"/>
        <v>-159713.11805900137</v>
      </c>
    </row>
    <row r="564" spans="1:2">
      <c r="A564" s="2">
        <v>45125</v>
      </c>
      <c r="B564">
        <f t="shared" ca="1" si="8"/>
        <v>-69909.989272371313</v>
      </c>
    </row>
    <row r="565" spans="1:2">
      <c r="A565" s="2">
        <v>45126</v>
      </c>
      <c r="B565">
        <f t="shared" ca="1" si="8"/>
        <v>66778.990693446263</v>
      </c>
    </row>
    <row r="566" spans="1:2">
      <c r="A566" s="2">
        <v>45127</v>
      </c>
      <c r="B566">
        <f t="shared" ca="1" si="8"/>
        <v>78308.881825045697</v>
      </c>
    </row>
    <row r="567" spans="1:2">
      <c r="A567" s="2">
        <v>45128</v>
      </c>
      <c r="B567">
        <f t="shared" ca="1" si="8"/>
        <v>-6962.2467869399516</v>
      </c>
    </row>
    <row r="568" spans="1:2">
      <c r="A568" s="2">
        <v>45129</v>
      </c>
      <c r="B568">
        <f t="shared" ca="1" si="8"/>
        <v>143939.45461008322</v>
      </c>
    </row>
    <row r="569" spans="1:2">
      <c r="A569" s="2">
        <v>45130</v>
      </c>
      <c r="B569">
        <f t="shared" ca="1" si="8"/>
        <v>-138423.52806508288</v>
      </c>
    </row>
    <row r="570" spans="1:2">
      <c r="A570" s="2">
        <v>45131</v>
      </c>
      <c r="B570">
        <f t="shared" ca="1" si="8"/>
        <v>-162062.72881119087</v>
      </c>
    </row>
    <row r="571" spans="1:2">
      <c r="A571" s="2">
        <v>45132</v>
      </c>
      <c r="B571">
        <f t="shared" ca="1" si="8"/>
        <v>86639.839661977676</v>
      </c>
    </row>
    <row r="572" spans="1:2">
      <c r="A572" s="2">
        <v>45133</v>
      </c>
      <c r="B572">
        <f t="shared" ca="1" si="8"/>
        <v>-37269.519136030118</v>
      </c>
    </row>
    <row r="573" spans="1:2">
      <c r="A573" s="2">
        <v>45134</v>
      </c>
      <c r="B573">
        <f t="shared" ca="1" si="8"/>
        <v>54791.753561490172</v>
      </c>
    </row>
    <row r="574" spans="1:2">
      <c r="A574" s="2">
        <v>45135</v>
      </c>
      <c r="B574">
        <f t="shared" ca="1" si="8"/>
        <v>-65022.211701842767</v>
      </c>
    </row>
    <row r="575" spans="1:2">
      <c r="A575" s="2">
        <v>45136</v>
      </c>
      <c r="B575">
        <f t="shared" ca="1" si="8"/>
        <v>-60871.298089627853</v>
      </c>
    </row>
    <row r="576" spans="1:2">
      <c r="A576" s="2">
        <v>45137</v>
      </c>
      <c r="B576">
        <f t="shared" ca="1" si="8"/>
        <v>115843.87982975293</v>
      </c>
    </row>
    <row r="577" spans="1:2">
      <c r="A577" s="2">
        <v>45138</v>
      </c>
      <c r="B577">
        <f t="shared" ca="1" si="8"/>
        <v>-143130.38474236758</v>
      </c>
    </row>
    <row r="578" spans="1:2">
      <c r="A578" s="2">
        <v>45139</v>
      </c>
      <c r="B578">
        <f t="shared" ref="B578:B641" ca="1" si="9">200000*(2*RAND()-1)</f>
        <v>-55393.039440915672</v>
      </c>
    </row>
    <row r="579" spans="1:2">
      <c r="A579" s="2">
        <v>45140</v>
      </c>
      <c r="B579">
        <f t="shared" ca="1" si="9"/>
        <v>-199873.41888512255</v>
      </c>
    </row>
    <row r="580" spans="1:2">
      <c r="A580" s="2">
        <v>45141</v>
      </c>
      <c r="B580">
        <f t="shared" ca="1" si="9"/>
        <v>-136684.53265131646</v>
      </c>
    </row>
    <row r="581" spans="1:2">
      <c r="A581" s="2">
        <v>45142</v>
      </c>
      <c r="B581">
        <f t="shared" ca="1" si="9"/>
        <v>128006.27761593222</v>
      </c>
    </row>
    <row r="582" spans="1:2">
      <c r="A582" s="2">
        <v>45143</v>
      </c>
      <c r="B582">
        <f t="shared" ca="1" si="9"/>
        <v>-101878.76161886961</v>
      </c>
    </row>
    <row r="583" spans="1:2">
      <c r="A583" s="2">
        <v>45144</v>
      </c>
      <c r="B583">
        <f t="shared" ca="1" si="9"/>
        <v>-146321.36994748589</v>
      </c>
    </row>
    <row r="584" spans="1:2">
      <c r="A584" s="2">
        <v>45145</v>
      </c>
      <c r="B584">
        <f t="shared" ca="1" si="9"/>
        <v>76903.440160432889</v>
      </c>
    </row>
    <row r="585" spans="1:2">
      <c r="A585" s="2">
        <v>45146</v>
      </c>
      <c r="B585">
        <f t="shared" ca="1" si="9"/>
        <v>-82970.646503012264</v>
      </c>
    </row>
    <row r="586" spans="1:2">
      <c r="A586" s="2">
        <v>45147</v>
      </c>
      <c r="B586">
        <f t="shared" ca="1" si="9"/>
        <v>158019.7373580111</v>
      </c>
    </row>
    <row r="587" spans="1:2">
      <c r="A587" s="2">
        <v>45148</v>
      </c>
      <c r="B587">
        <f t="shared" ca="1" si="9"/>
        <v>168582.86044886889</v>
      </c>
    </row>
    <row r="588" spans="1:2">
      <c r="A588" s="2">
        <v>45149</v>
      </c>
      <c r="B588">
        <f t="shared" ca="1" si="9"/>
        <v>-71636.143149285126</v>
      </c>
    </row>
    <row r="589" spans="1:2">
      <c r="A589" s="2">
        <v>45150</v>
      </c>
      <c r="B589">
        <f t="shared" ca="1" si="9"/>
        <v>84893.268881112192</v>
      </c>
    </row>
    <row r="590" spans="1:2">
      <c r="A590" s="2">
        <v>45151</v>
      </c>
      <c r="B590">
        <f t="shared" ca="1" si="9"/>
        <v>52792.179799035388</v>
      </c>
    </row>
    <row r="591" spans="1:2">
      <c r="A591" s="2">
        <v>45152</v>
      </c>
      <c r="B591">
        <f t="shared" ca="1" si="9"/>
        <v>-19995.06905349806</v>
      </c>
    </row>
    <row r="592" spans="1:2">
      <c r="A592" s="2">
        <v>45153</v>
      </c>
      <c r="B592">
        <f t="shared" ca="1" si="9"/>
        <v>-155120.93501184191</v>
      </c>
    </row>
    <row r="593" spans="1:2">
      <c r="A593" s="2">
        <v>45154</v>
      </c>
      <c r="B593">
        <f t="shared" ca="1" si="9"/>
        <v>86384.928140459568</v>
      </c>
    </row>
    <row r="594" spans="1:2">
      <c r="A594" s="2">
        <v>45155</v>
      </c>
      <c r="B594">
        <f t="shared" ca="1" si="9"/>
        <v>-65666.071029752653</v>
      </c>
    </row>
    <row r="595" spans="1:2">
      <c r="A595" s="2">
        <v>45156</v>
      </c>
      <c r="B595">
        <f t="shared" ca="1" si="9"/>
        <v>124682.41019374502</v>
      </c>
    </row>
    <row r="596" spans="1:2">
      <c r="A596" s="2">
        <v>45157</v>
      </c>
      <c r="B596">
        <f t="shared" ca="1" si="9"/>
        <v>-88133.250650729256</v>
      </c>
    </row>
    <row r="597" spans="1:2">
      <c r="A597" s="2">
        <v>45158</v>
      </c>
      <c r="B597">
        <f t="shared" ca="1" si="9"/>
        <v>-24705.347248971822</v>
      </c>
    </row>
    <row r="598" spans="1:2">
      <c r="A598" s="2">
        <v>45159</v>
      </c>
      <c r="B598">
        <f t="shared" ca="1" si="9"/>
        <v>46912.1255201284</v>
      </c>
    </row>
    <row r="599" spans="1:2">
      <c r="A599" s="2">
        <v>45160</v>
      </c>
      <c r="B599">
        <f t="shared" ca="1" si="9"/>
        <v>179436.70897394104</v>
      </c>
    </row>
    <row r="600" spans="1:2">
      <c r="A600" s="2">
        <v>45161</v>
      </c>
      <c r="B600">
        <f t="shared" ca="1" si="9"/>
        <v>139659.78913006044</v>
      </c>
    </row>
    <row r="601" spans="1:2">
      <c r="A601" s="2">
        <v>45162</v>
      </c>
      <c r="B601">
        <f t="shared" ca="1" si="9"/>
        <v>-78866.598516927945</v>
      </c>
    </row>
    <row r="602" spans="1:2">
      <c r="A602" s="2">
        <v>45163</v>
      </c>
      <c r="B602">
        <f t="shared" ca="1" si="9"/>
        <v>43665.565248426086</v>
      </c>
    </row>
    <row r="603" spans="1:2">
      <c r="A603" s="2">
        <v>45164</v>
      </c>
      <c r="B603">
        <f t="shared" ca="1" si="9"/>
        <v>-190783.90164362441</v>
      </c>
    </row>
    <row r="604" spans="1:2">
      <c r="A604" s="2">
        <v>45165</v>
      </c>
      <c r="B604">
        <f t="shared" ca="1" si="9"/>
        <v>129781.80277735794</v>
      </c>
    </row>
    <row r="605" spans="1:2">
      <c r="A605" s="2">
        <v>45166</v>
      </c>
      <c r="B605">
        <f t="shared" ca="1" si="9"/>
        <v>179602.20085624777</v>
      </c>
    </row>
    <row r="606" spans="1:2">
      <c r="A606" s="2">
        <v>45167</v>
      </c>
      <c r="B606">
        <f t="shared" ca="1" si="9"/>
        <v>43128.429680379246</v>
      </c>
    </row>
    <row r="607" spans="1:2">
      <c r="A607" s="2">
        <v>45168</v>
      </c>
      <c r="B607">
        <f t="shared" ca="1" si="9"/>
        <v>1384.5200730281172</v>
      </c>
    </row>
    <row r="608" spans="1:2">
      <c r="A608" s="2">
        <v>45169</v>
      </c>
      <c r="B608">
        <f t="shared" ca="1" si="9"/>
        <v>39138.371392326786</v>
      </c>
    </row>
    <row r="609" spans="1:2">
      <c r="A609" s="2">
        <v>45170</v>
      </c>
      <c r="B609">
        <f t="shared" ca="1" si="9"/>
        <v>76444.007044934508</v>
      </c>
    </row>
    <row r="610" spans="1:2">
      <c r="A610" s="2">
        <v>45171</v>
      </c>
      <c r="B610">
        <f t="shared" ca="1" si="9"/>
        <v>153607.48993661467</v>
      </c>
    </row>
    <row r="611" spans="1:2">
      <c r="A611" s="2">
        <v>45172</v>
      </c>
      <c r="B611">
        <f t="shared" ca="1" si="9"/>
        <v>-54055.307099355377</v>
      </c>
    </row>
    <row r="612" spans="1:2">
      <c r="A612" s="2">
        <v>45173</v>
      </c>
      <c r="B612">
        <f t="shared" ca="1" si="9"/>
        <v>178994.05710555633</v>
      </c>
    </row>
    <row r="613" spans="1:2">
      <c r="A613" s="2">
        <v>45174</v>
      </c>
      <c r="B613">
        <f t="shared" ca="1" si="9"/>
        <v>-103867.10160104488</v>
      </c>
    </row>
    <row r="614" spans="1:2">
      <c r="A614" s="2">
        <v>45175</v>
      </c>
      <c r="B614">
        <f t="shared" ca="1" si="9"/>
        <v>30912.858549956334</v>
      </c>
    </row>
    <row r="615" spans="1:2">
      <c r="A615" s="2">
        <v>45176</v>
      </c>
      <c r="B615">
        <f t="shared" ca="1" si="9"/>
        <v>47306.366074086982</v>
      </c>
    </row>
    <row r="616" spans="1:2">
      <c r="A616" s="2">
        <v>45177</v>
      </c>
      <c r="B616">
        <f t="shared" ca="1" si="9"/>
        <v>-49646.002005715185</v>
      </c>
    </row>
    <row r="617" spans="1:2">
      <c r="A617" s="2">
        <v>45178</v>
      </c>
      <c r="B617">
        <f t="shared" ca="1" si="9"/>
        <v>-14194.784723821163</v>
      </c>
    </row>
    <row r="618" spans="1:2">
      <c r="A618" s="2">
        <v>45179</v>
      </c>
      <c r="B618">
        <f t="shared" ca="1" si="9"/>
        <v>47987.30668220119</v>
      </c>
    </row>
    <row r="619" spans="1:2">
      <c r="A619" s="2">
        <v>45180</v>
      </c>
      <c r="B619">
        <f t="shared" ca="1" si="9"/>
        <v>-194704.39200903097</v>
      </c>
    </row>
    <row r="620" spans="1:2">
      <c r="A620" s="2">
        <v>45181</v>
      </c>
      <c r="B620">
        <f t="shared" ca="1" si="9"/>
        <v>58247.483672059941</v>
      </c>
    </row>
    <row r="621" spans="1:2">
      <c r="A621" s="2">
        <v>45182</v>
      </c>
      <c r="B621">
        <f t="shared" ca="1" si="9"/>
        <v>-177887.80947401799</v>
      </c>
    </row>
    <row r="622" spans="1:2">
      <c r="A622" s="2">
        <v>45183</v>
      </c>
      <c r="B622">
        <f t="shared" ca="1" si="9"/>
        <v>11126.663823607074</v>
      </c>
    </row>
    <row r="623" spans="1:2">
      <c r="A623" s="2">
        <v>45184</v>
      </c>
      <c r="B623">
        <f t="shared" ca="1" si="9"/>
        <v>51715.622164155924</v>
      </c>
    </row>
    <row r="624" spans="1:2">
      <c r="A624" s="2">
        <v>45185</v>
      </c>
      <c r="B624">
        <f t="shared" ca="1" si="9"/>
        <v>172654.95461771984</v>
      </c>
    </row>
    <row r="625" spans="1:2">
      <c r="A625" s="2">
        <v>45186</v>
      </c>
      <c r="B625">
        <f t="shared" ca="1" si="9"/>
        <v>-151888.98976227327</v>
      </c>
    </row>
    <row r="626" spans="1:2">
      <c r="A626" s="2">
        <v>45187</v>
      </c>
      <c r="B626">
        <f t="shared" ca="1" si="9"/>
        <v>-81687.109698015498</v>
      </c>
    </row>
    <row r="627" spans="1:2">
      <c r="A627" s="2">
        <v>45188</v>
      </c>
      <c r="B627">
        <f t="shared" ca="1" si="9"/>
        <v>-114223.20654435807</v>
      </c>
    </row>
    <row r="628" spans="1:2">
      <c r="A628" s="2">
        <v>45189</v>
      </c>
      <c r="B628">
        <f t="shared" ca="1" si="9"/>
        <v>25505.134802405617</v>
      </c>
    </row>
    <row r="629" spans="1:2">
      <c r="A629" s="2">
        <v>45190</v>
      </c>
      <c r="B629">
        <f t="shared" ca="1" si="9"/>
        <v>-163178.19273907653</v>
      </c>
    </row>
    <row r="630" spans="1:2">
      <c r="A630" s="2">
        <v>45191</v>
      </c>
      <c r="B630">
        <f t="shared" ca="1" si="9"/>
        <v>65599.580849551887</v>
      </c>
    </row>
    <row r="631" spans="1:2">
      <c r="A631" s="2">
        <v>45192</v>
      </c>
      <c r="B631">
        <f t="shared" ca="1" si="9"/>
        <v>-167494.5713896988</v>
      </c>
    </row>
    <row r="632" spans="1:2">
      <c r="A632" s="2">
        <v>45193</v>
      </c>
      <c r="B632">
        <f t="shared" ca="1" si="9"/>
        <v>184519.32025728023</v>
      </c>
    </row>
    <row r="633" spans="1:2">
      <c r="A633" s="2">
        <v>45194</v>
      </c>
      <c r="B633">
        <f t="shared" ca="1" si="9"/>
        <v>-39948.291554842493</v>
      </c>
    </row>
    <row r="634" spans="1:2">
      <c r="A634" s="2">
        <v>45195</v>
      </c>
      <c r="B634">
        <f t="shared" ca="1" si="9"/>
        <v>133605.0210191308</v>
      </c>
    </row>
    <row r="635" spans="1:2">
      <c r="A635" s="2">
        <v>45196</v>
      </c>
      <c r="B635">
        <f t="shared" ca="1" si="9"/>
        <v>-111763.367255163</v>
      </c>
    </row>
    <row r="636" spans="1:2">
      <c r="A636" s="2">
        <v>45197</v>
      </c>
      <c r="B636">
        <f t="shared" ca="1" si="9"/>
        <v>-95556.520775733894</v>
      </c>
    </row>
    <row r="637" spans="1:2">
      <c r="A637" s="2">
        <v>45198</v>
      </c>
      <c r="B637">
        <f t="shared" ca="1" si="9"/>
        <v>-35276.798365175746</v>
      </c>
    </row>
    <row r="638" spans="1:2">
      <c r="A638" s="2">
        <v>45199</v>
      </c>
      <c r="B638">
        <f t="shared" ca="1" si="9"/>
        <v>-192588.04894947979</v>
      </c>
    </row>
    <row r="639" spans="1:2">
      <c r="A639" s="2">
        <v>45200</v>
      </c>
      <c r="B639">
        <f t="shared" ca="1" si="9"/>
        <v>-17923.750080782331</v>
      </c>
    </row>
    <row r="640" spans="1:2">
      <c r="A640" s="2">
        <v>45201</v>
      </c>
      <c r="B640">
        <f t="shared" ca="1" si="9"/>
        <v>105826.50844959756</v>
      </c>
    </row>
    <row r="641" spans="1:2">
      <c r="A641" s="2">
        <v>45202</v>
      </c>
      <c r="B641">
        <f t="shared" ca="1" si="9"/>
        <v>-42221.488538439458</v>
      </c>
    </row>
    <row r="642" spans="1:2">
      <c r="A642" s="2">
        <v>45203</v>
      </c>
      <c r="B642">
        <f t="shared" ref="B642:B705" ca="1" si="10">200000*(2*RAND()-1)</f>
        <v>40200.157449493367</v>
      </c>
    </row>
    <row r="643" spans="1:2">
      <c r="A643" s="2">
        <v>45204</v>
      </c>
      <c r="B643">
        <f t="shared" ca="1" si="10"/>
        <v>11953.272756927057</v>
      </c>
    </row>
    <row r="644" spans="1:2">
      <c r="A644" s="2">
        <v>45205</v>
      </c>
      <c r="B644">
        <f t="shared" ca="1" si="10"/>
        <v>76773.156399722444</v>
      </c>
    </row>
    <row r="645" spans="1:2">
      <c r="A645" s="2">
        <v>45206</v>
      </c>
      <c r="B645">
        <f t="shared" ca="1" si="10"/>
        <v>147691.85805114359</v>
      </c>
    </row>
    <row r="646" spans="1:2">
      <c r="A646" s="2">
        <v>45207</v>
      </c>
      <c r="B646">
        <f t="shared" ca="1" si="10"/>
        <v>-102148.89458119187</v>
      </c>
    </row>
    <row r="647" spans="1:2">
      <c r="A647" s="2">
        <v>45208</v>
      </c>
      <c r="B647">
        <f t="shared" ca="1" si="10"/>
        <v>-18804.865605926134</v>
      </c>
    </row>
    <row r="648" spans="1:2">
      <c r="A648" s="2">
        <v>45209</v>
      </c>
      <c r="B648">
        <f t="shared" ca="1" si="10"/>
        <v>120745.33603325923</v>
      </c>
    </row>
    <row r="649" spans="1:2">
      <c r="A649" s="2">
        <v>45210</v>
      </c>
      <c r="B649">
        <f t="shared" ca="1" si="10"/>
        <v>113875.37671785739</v>
      </c>
    </row>
    <row r="650" spans="1:2">
      <c r="A650" s="2">
        <v>45211</v>
      </c>
      <c r="B650">
        <f t="shared" ca="1" si="10"/>
        <v>-31343.858860758501</v>
      </c>
    </row>
    <row r="651" spans="1:2">
      <c r="A651" s="2">
        <v>45212</v>
      </c>
      <c r="B651">
        <f t="shared" ca="1" si="10"/>
        <v>408.11899051975684</v>
      </c>
    </row>
    <row r="652" spans="1:2">
      <c r="A652" s="2">
        <v>45213</v>
      </c>
      <c r="B652">
        <f t="shared" ca="1" si="10"/>
        <v>-110744.14572124404</v>
      </c>
    </row>
    <row r="653" spans="1:2">
      <c r="A653" s="2">
        <v>45214</v>
      </c>
      <c r="B653">
        <f t="shared" ca="1" si="10"/>
        <v>-109428.33884096563</v>
      </c>
    </row>
    <row r="654" spans="1:2">
      <c r="A654" s="2">
        <v>45215</v>
      </c>
      <c r="B654">
        <f t="shared" ca="1" si="10"/>
        <v>174166.10491544701</v>
      </c>
    </row>
    <row r="655" spans="1:2">
      <c r="A655" s="2">
        <v>45216</v>
      </c>
      <c r="B655">
        <f t="shared" ca="1" si="10"/>
        <v>-76710.1983485237</v>
      </c>
    </row>
    <row r="656" spans="1:2">
      <c r="A656" s="2">
        <v>45217</v>
      </c>
      <c r="B656">
        <f t="shared" ca="1" si="10"/>
        <v>-115885.63815975031</v>
      </c>
    </row>
    <row r="657" spans="1:2">
      <c r="A657" s="2">
        <v>45218</v>
      </c>
      <c r="B657">
        <f t="shared" ca="1" si="10"/>
        <v>-84570.005430963938</v>
      </c>
    </row>
    <row r="658" spans="1:2">
      <c r="A658" s="2">
        <v>45219</v>
      </c>
      <c r="B658">
        <f t="shared" ca="1" si="10"/>
        <v>-8030.0494966871747</v>
      </c>
    </row>
    <row r="659" spans="1:2">
      <c r="A659" s="2">
        <v>45220</v>
      </c>
      <c r="B659">
        <f t="shared" ca="1" si="10"/>
        <v>137161.42087351123</v>
      </c>
    </row>
    <row r="660" spans="1:2">
      <c r="A660" s="2">
        <v>45221</v>
      </c>
      <c r="B660">
        <f t="shared" ca="1" si="10"/>
        <v>-161652.8324773208</v>
      </c>
    </row>
    <row r="661" spans="1:2">
      <c r="A661" s="2">
        <v>45222</v>
      </c>
      <c r="B661">
        <f t="shared" ca="1" si="10"/>
        <v>83002.155799838074</v>
      </c>
    </row>
    <row r="662" spans="1:2">
      <c r="A662" s="2">
        <v>45223</v>
      </c>
      <c r="B662">
        <f t="shared" ca="1" si="10"/>
        <v>65389.556529008572</v>
      </c>
    </row>
    <row r="663" spans="1:2">
      <c r="A663" s="2">
        <v>45224</v>
      </c>
      <c r="B663">
        <f t="shared" ca="1" si="10"/>
        <v>-119682.56918976193</v>
      </c>
    </row>
    <row r="664" spans="1:2">
      <c r="A664" s="2">
        <v>45225</v>
      </c>
      <c r="B664">
        <f t="shared" ca="1" si="10"/>
        <v>61690.80831874525</v>
      </c>
    </row>
    <row r="665" spans="1:2">
      <c r="A665" s="2">
        <v>45226</v>
      </c>
      <c r="B665">
        <f t="shared" ca="1" si="10"/>
        <v>72703.834925238814</v>
      </c>
    </row>
    <row r="666" spans="1:2">
      <c r="A666" s="2">
        <v>45227</v>
      </c>
      <c r="B666">
        <f t="shared" ca="1" si="10"/>
        <v>177761.28349309962</v>
      </c>
    </row>
    <row r="667" spans="1:2">
      <c r="A667" s="2">
        <v>45228</v>
      </c>
      <c r="B667">
        <f t="shared" ca="1" si="10"/>
        <v>-69933.84825943844</v>
      </c>
    </row>
    <row r="668" spans="1:2">
      <c r="A668" s="2">
        <v>45229</v>
      </c>
      <c r="B668">
        <f t="shared" ca="1" si="10"/>
        <v>135788.41464331647</v>
      </c>
    </row>
    <row r="669" spans="1:2">
      <c r="A669" s="2">
        <v>45230</v>
      </c>
      <c r="B669">
        <f t="shared" ca="1" si="10"/>
        <v>-169580.54693353604</v>
      </c>
    </row>
    <row r="670" spans="1:2">
      <c r="A670" s="2">
        <v>45231</v>
      </c>
      <c r="B670">
        <f t="shared" ca="1" si="10"/>
        <v>187564.16050102253</v>
      </c>
    </row>
    <row r="671" spans="1:2">
      <c r="A671" s="2">
        <v>45232</v>
      </c>
      <c r="B671">
        <f t="shared" ca="1" si="10"/>
        <v>198813.76445323788</v>
      </c>
    </row>
    <row r="672" spans="1:2">
      <c r="A672" s="2">
        <v>45233</v>
      </c>
      <c r="B672">
        <f t="shared" ca="1" si="10"/>
        <v>-182189.33638665432</v>
      </c>
    </row>
    <row r="673" spans="1:2">
      <c r="A673" s="2">
        <v>45234</v>
      </c>
      <c r="B673">
        <f t="shared" ca="1" si="10"/>
        <v>-189464.59537949099</v>
      </c>
    </row>
    <row r="674" spans="1:2">
      <c r="A674" s="2">
        <v>45235</v>
      </c>
      <c r="B674">
        <f t="shared" ca="1" si="10"/>
        <v>-96809.514299814793</v>
      </c>
    </row>
    <row r="675" spans="1:2">
      <c r="A675" s="2">
        <v>45236</v>
      </c>
      <c r="B675">
        <f t="shared" ca="1" si="10"/>
        <v>12130.563880504575</v>
      </c>
    </row>
    <row r="676" spans="1:2">
      <c r="A676" s="2">
        <v>45237</v>
      </c>
      <c r="B676">
        <f t="shared" ca="1" si="10"/>
        <v>-22233.838180640043</v>
      </c>
    </row>
    <row r="677" spans="1:2">
      <c r="A677" s="2">
        <v>45238</v>
      </c>
      <c r="B677">
        <f t="shared" ca="1" si="10"/>
        <v>-68638.637021193281</v>
      </c>
    </row>
    <row r="678" spans="1:2">
      <c r="A678" s="2">
        <v>45239</v>
      </c>
      <c r="B678">
        <f t="shared" ca="1" si="10"/>
        <v>-138510.49650649697</v>
      </c>
    </row>
    <row r="679" spans="1:2">
      <c r="A679" s="2">
        <v>45240</v>
      </c>
      <c r="B679">
        <f t="shared" ca="1" si="10"/>
        <v>-148464.9076127586</v>
      </c>
    </row>
    <row r="680" spans="1:2">
      <c r="A680" s="2">
        <v>45241</v>
      </c>
      <c r="B680">
        <f t="shared" ca="1" si="10"/>
        <v>-145331.98167983067</v>
      </c>
    </row>
    <row r="681" spans="1:2">
      <c r="A681" s="2">
        <v>45242</v>
      </c>
      <c r="B681">
        <f t="shared" ca="1" si="10"/>
        <v>67171.092862002581</v>
      </c>
    </row>
    <row r="682" spans="1:2">
      <c r="A682" s="2">
        <v>45243</v>
      </c>
      <c r="B682">
        <f t="shared" ca="1" si="10"/>
        <v>75416.325236369623</v>
      </c>
    </row>
    <row r="683" spans="1:2">
      <c r="A683" s="2">
        <v>45244</v>
      </c>
      <c r="B683">
        <f t="shared" ca="1" si="10"/>
        <v>63783.927312987609</v>
      </c>
    </row>
    <row r="684" spans="1:2">
      <c r="A684" s="2">
        <v>45245</v>
      </c>
      <c r="B684">
        <f t="shared" ca="1" si="10"/>
        <v>158373.60407383394</v>
      </c>
    </row>
    <row r="685" spans="1:2">
      <c r="A685" s="2">
        <v>45246</v>
      </c>
      <c r="B685">
        <f t="shared" ca="1" si="10"/>
        <v>-98278.700148189469</v>
      </c>
    </row>
    <row r="686" spans="1:2">
      <c r="A686" s="2">
        <v>45247</v>
      </c>
      <c r="B686">
        <f t="shared" ca="1" si="10"/>
        <v>-45602.242358862721</v>
      </c>
    </row>
    <row r="687" spans="1:2">
      <c r="A687" s="2">
        <v>45248</v>
      </c>
      <c r="B687">
        <f t="shared" ca="1" si="10"/>
        <v>87776.626645408833</v>
      </c>
    </row>
    <row r="688" spans="1:2">
      <c r="A688" s="2">
        <v>45249</v>
      </c>
      <c r="B688">
        <f t="shared" ca="1" si="10"/>
        <v>67454.41354989144</v>
      </c>
    </row>
    <row r="689" spans="1:2">
      <c r="A689" s="2">
        <v>45250</v>
      </c>
      <c r="B689">
        <f t="shared" ca="1" si="10"/>
        <v>17088.881930521893</v>
      </c>
    </row>
    <row r="690" spans="1:2">
      <c r="A690" s="2">
        <v>45251</v>
      </c>
      <c r="B690">
        <f t="shared" ca="1" si="10"/>
        <v>103640.98576051788</v>
      </c>
    </row>
    <row r="691" spans="1:2">
      <c r="A691" s="2">
        <v>45252</v>
      </c>
      <c r="B691">
        <f t="shared" ca="1" si="10"/>
        <v>133862.90331562023</v>
      </c>
    </row>
    <row r="692" spans="1:2">
      <c r="A692" s="2">
        <v>45253</v>
      </c>
      <c r="B692">
        <f t="shared" ca="1" si="10"/>
        <v>-79160.277479271768</v>
      </c>
    </row>
    <row r="693" spans="1:2">
      <c r="A693" s="2">
        <v>45254</v>
      </c>
      <c r="B693">
        <f t="shared" ca="1" si="10"/>
        <v>156693.54289745531</v>
      </c>
    </row>
    <row r="694" spans="1:2">
      <c r="A694" s="2">
        <v>45255</v>
      </c>
      <c r="B694">
        <f t="shared" ca="1" si="10"/>
        <v>-47458.910145687485</v>
      </c>
    </row>
    <row r="695" spans="1:2">
      <c r="A695" s="2">
        <v>45256</v>
      </c>
      <c r="B695">
        <f t="shared" ca="1" si="10"/>
        <v>61348.117335817064</v>
      </c>
    </row>
    <row r="696" spans="1:2">
      <c r="A696" s="2">
        <v>45257</v>
      </c>
      <c r="B696">
        <f t="shared" ca="1" si="10"/>
        <v>-87201.110560031259</v>
      </c>
    </row>
    <row r="697" spans="1:2">
      <c r="A697" s="2">
        <v>45258</v>
      </c>
      <c r="B697">
        <f t="shared" ca="1" si="10"/>
        <v>117451.59935064397</v>
      </c>
    </row>
    <row r="698" spans="1:2">
      <c r="A698" s="2">
        <v>45259</v>
      </c>
      <c r="B698">
        <f t="shared" ca="1" si="10"/>
        <v>-22322.783074190113</v>
      </c>
    </row>
    <row r="699" spans="1:2">
      <c r="A699" s="2">
        <v>45260</v>
      </c>
      <c r="B699">
        <f t="shared" ca="1" si="10"/>
        <v>108427.89953688055</v>
      </c>
    </row>
    <row r="700" spans="1:2">
      <c r="A700" s="2">
        <v>45261</v>
      </c>
      <c r="B700">
        <f t="shared" ca="1" si="10"/>
        <v>119563.89504665595</v>
      </c>
    </row>
    <row r="701" spans="1:2">
      <c r="A701" s="2">
        <v>45262</v>
      </c>
      <c r="B701">
        <f t="shared" ca="1" si="10"/>
        <v>16514.486818753539</v>
      </c>
    </row>
    <row r="702" spans="1:2">
      <c r="A702" s="2">
        <v>45263</v>
      </c>
      <c r="B702">
        <f t="shared" ca="1" si="10"/>
        <v>-157655.44195641231</v>
      </c>
    </row>
    <row r="703" spans="1:2">
      <c r="A703" s="2">
        <v>45264</v>
      </c>
      <c r="B703">
        <f t="shared" ca="1" si="10"/>
        <v>-109976.75297962366</v>
      </c>
    </row>
    <row r="704" spans="1:2">
      <c r="A704" s="2">
        <v>45265</v>
      </c>
      <c r="B704">
        <f t="shared" ca="1" si="10"/>
        <v>-99823.838544499478</v>
      </c>
    </row>
    <row r="705" spans="1:2">
      <c r="A705" s="2">
        <v>45266</v>
      </c>
      <c r="B705">
        <f t="shared" ca="1" si="10"/>
        <v>192010.07670755271</v>
      </c>
    </row>
    <row r="706" spans="1:2">
      <c r="A706" s="2">
        <v>45267</v>
      </c>
      <c r="B706">
        <f t="shared" ref="B706:B727" ca="1" si="11">200000*(2*RAND()-1)</f>
        <v>-187762.17138077357</v>
      </c>
    </row>
    <row r="707" spans="1:2">
      <c r="A707" s="2">
        <v>45268</v>
      </c>
      <c r="B707">
        <f t="shared" ca="1" si="11"/>
        <v>70764.731686742802</v>
      </c>
    </row>
    <row r="708" spans="1:2">
      <c r="A708" s="2">
        <v>45269</v>
      </c>
      <c r="B708">
        <f t="shared" ca="1" si="11"/>
        <v>-177200.18864117796</v>
      </c>
    </row>
    <row r="709" spans="1:2">
      <c r="A709" s="2">
        <v>45270</v>
      </c>
      <c r="B709">
        <f t="shared" ca="1" si="11"/>
        <v>-163892.32350079995</v>
      </c>
    </row>
    <row r="710" spans="1:2">
      <c r="A710" s="2">
        <v>45271</v>
      </c>
      <c r="B710">
        <f t="shared" ca="1" si="11"/>
        <v>56447.669511449436</v>
      </c>
    </row>
    <row r="711" spans="1:2">
      <c r="A711" s="2">
        <v>45272</v>
      </c>
      <c r="B711">
        <f t="shared" ca="1" si="11"/>
        <v>-116108.03862608399</v>
      </c>
    </row>
    <row r="712" spans="1:2">
      <c r="A712" s="2">
        <v>45273</v>
      </c>
      <c r="B712">
        <f t="shared" ca="1" si="11"/>
        <v>-39574.531320482674</v>
      </c>
    </row>
    <row r="713" spans="1:2">
      <c r="A713" s="2">
        <v>45274</v>
      </c>
      <c r="B713">
        <f t="shared" ca="1" si="11"/>
        <v>107426.43226247512</v>
      </c>
    </row>
    <row r="714" spans="1:2">
      <c r="A714" s="2">
        <v>45275</v>
      </c>
      <c r="B714">
        <f t="shared" ca="1" si="11"/>
        <v>-197360.84671459303</v>
      </c>
    </row>
    <row r="715" spans="1:2">
      <c r="A715" s="2">
        <v>45276</v>
      </c>
      <c r="B715">
        <f t="shared" ca="1" si="11"/>
        <v>-42782.389216634845</v>
      </c>
    </row>
    <row r="716" spans="1:2">
      <c r="A716" s="2">
        <v>45277</v>
      </c>
      <c r="B716">
        <f t="shared" ca="1" si="11"/>
        <v>-176085.54816143998</v>
      </c>
    </row>
    <row r="717" spans="1:2">
      <c r="A717" s="2">
        <v>45278</v>
      </c>
      <c r="B717">
        <f t="shared" ca="1" si="11"/>
        <v>185487.82897944789</v>
      </c>
    </row>
    <row r="718" spans="1:2">
      <c r="A718" s="2">
        <v>45279</v>
      </c>
      <c r="B718">
        <f t="shared" ca="1" si="11"/>
        <v>6489.4313966702648</v>
      </c>
    </row>
    <row r="719" spans="1:2">
      <c r="A719" s="2">
        <v>45280</v>
      </c>
      <c r="B719">
        <f t="shared" ca="1" si="11"/>
        <v>37183.118578285692</v>
      </c>
    </row>
    <row r="720" spans="1:2">
      <c r="A720" s="2">
        <v>45281</v>
      </c>
      <c r="B720">
        <f t="shared" ca="1" si="11"/>
        <v>183803.4411190674</v>
      </c>
    </row>
    <row r="721" spans="1:2">
      <c r="A721" s="2">
        <v>45282</v>
      </c>
      <c r="B721">
        <f t="shared" ca="1" si="11"/>
        <v>-43290.347257507201</v>
      </c>
    </row>
    <row r="722" spans="1:2">
      <c r="A722" s="2">
        <v>45283</v>
      </c>
      <c r="B722">
        <f t="shared" ca="1" si="11"/>
        <v>98542.764411266908</v>
      </c>
    </row>
    <row r="723" spans="1:2">
      <c r="A723" s="2">
        <v>45284</v>
      </c>
      <c r="B723">
        <f t="shared" ca="1" si="11"/>
        <v>130817.30421423935</v>
      </c>
    </row>
    <row r="724" spans="1:2">
      <c r="A724" s="2">
        <v>45285</v>
      </c>
      <c r="B724">
        <f t="shared" ca="1" si="11"/>
        <v>-136903.81385996111</v>
      </c>
    </row>
    <row r="725" spans="1:2">
      <c r="A725" s="2">
        <v>45286</v>
      </c>
      <c r="B725">
        <f t="shared" ca="1" si="11"/>
        <v>-154557.51481289143</v>
      </c>
    </row>
    <row r="726" spans="1:2">
      <c r="A726" s="2">
        <v>45287</v>
      </c>
      <c r="B726">
        <f t="shared" ca="1" si="11"/>
        <v>-72963.958290126247</v>
      </c>
    </row>
    <row r="727" spans="1:2">
      <c r="A727" s="2">
        <v>45288</v>
      </c>
      <c r="B727">
        <f t="shared" ca="1" si="11"/>
        <v>-126637.40178035886</v>
      </c>
    </row>
    <row r="728" spans="1:2">
      <c r="A728" s="2">
        <v>45289</v>
      </c>
      <c r="B728">
        <v>2864408.6120710871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B5FF-8812-4545-931B-ECAABA716FB6}">
  <sheetPr codeName="Sheet4"/>
  <dimension ref="A1:D13"/>
  <sheetViews>
    <sheetView workbookViewId="0">
      <selection activeCell="C24" sqref="C24"/>
    </sheetView>
  </sheetViews>
  <sheetFormatPr defaultRowHeight="15"/>
  <cols>
    <col min="1" max="1" width="12.140625" bestFit="1" customWidth="1"/>
    <col min="2" max="2" width="11.42578125" bestFit="1" customWidth="1"/>
    <col min="3" max="3" width="27.140625" bestFit="1" customWidth="1"/>
  </cols>
  <sheetData>
    <row r="1" spans="1:4">
      <c r="A1" s="24" t="s">
        <v>0</v>
      </c>
      <c r="B1" s="25" t="s">
        <v>152</v>
      </c>
      <c r="C1" s="25" t="s">
        <v>153</v>
      </c>
      <c r="D1" s="25" t="s">
        <v>154</v>
      </c>
    </row>
    <row r="2" spans="1:4">
      <c r="A2" s="26">
        <v>44928</v>
      </c>
      <c r="B2" s="27" t="s">
        <v>155</v>
      </c>
      <c r="C2" s="27" t="s">
        <v>156</v>
      </c>
      <c r="D2" s="27" t="s">
        <v>157</v>
      </c>
    </row>
    <row r="3" spans="1:4">
      <c r="A3" s="26">
        <v>44949</v>
      </c>
      <c r="B3" s="27" t="s">
        <v>155</v>
      </c>
      <c r="C3" s="27" t="s">
        <v>158</v>
      </c>
      <c r="D3" s="27" t="s">
        <v>157</v>
      </c>
    </row>
    <row r="4" spans="1:4">
      <c r="A4" s="26">
        <v>44979</v>
      </c>
      <c r="B4" s="27" t="s">
        <v>159</v>
      </c>
      <c r="C4" s="27" t="s">
        <v>160</v>
      </c>
      <c r="D4" s="27" t="s">
        <v>157</v>
      </c>
    </row>
    <row r="5" spans="1:4">
      <c r="A5" s="26">
        <v>45023</v>
      </c>
      <c r="B5" s="27" t="s">
        <v>161</v>
      </c>
      <c r="C5" s="27" t="s">
        <v>162</v>
      </c>
      <c r="D5" s="27" t="s">
        <v>157</v>
      </c>
    </row>
    <row r="6" spans="1:4">
      <c r="A6" s="26">
        <v>45026</v>
      </c>
      <c r="B6" s="27" t="s">
        <v>155</v>
      </c>
      <c r="C6" s="27" t="s">
        <v>163</v>
      </c>
      <c r="D6" s="27" t="s">
        <v>157</v>
      </c>
    </row>
    <row r="7" spans="1:4">
      <c r="A7" s="26">
        <v>45054</v>
      </c>
      <c r="B7" s="27" t="s">
        <v>155</v>
      </c>
      <c r="C7" s="27" t="s">
        <v>164</v>
      </c>
      <c r="D7" s="27" t="s">
        <v>157</v>
      </c>
    </row>
    <row r="8" spans="1:4">
      <c r="A8" s="26">
        <v>45061</v>
      </c>
      <c r="B8" s="27" t="s">
        <v>155</v>
      </c>
      <c r="C8" s="27" t="s">
        <v>165</v>
      </c>
      <c r="D8" s="27" t="s">
        <v>157</v>
      </c>
    </row>
    <row r="9" spans="1:4">
      <c r="A9" s="26">
        <v>45096</v>
      </c>
      <c r="B9" s="27" t="s">
        <v>155</v>
      </c>
      <c r="C9" s="27"/>
      <c r="D9" s="27" t="s">
        <v>157</v>
      </c>
    </row>
    <row r="10" spans="1:4">
      <c r="A10" s="26">
        <v>45110</v>
      </c>
      <c r="B10" s="27" t="s">
        <v>155</v>
      </c>
      <c r="C10" s="27" t="s">
        <v>166</v>
      </c>
      <c r="D10" s="27" t="s">
        <v>157</v>
      </c>
    </row>
    <row r="11" spans="1:4">
      <c r="A11" s="26">
        <v>45243</v>
      </c>
      <c r="B11" s="27" t="s">
        <v>155</v>
      </c>
      <c r="C11" s="27" t="s">
        <v>167</v>
      </c>
      <c r="D11" s="27" t="s">
        <v>157</v>
      </c>
    </row>
    <row r="12" spans="1:4">
      <c r="A12" s="26">
        <v>45285</v>
      </c>
      <c r="B12" s="27" t="s">
        <v>155</v>
      </c>
      <c r="C12" s="27" t="s">
        <v>168</v>
      </c>
      <c r="D12" s="27" t="s">
        <v>157</v>
      </c>
    </row>
    <row r="13" spans="1:4">
      <c r="A13" s="26">
        <v>45286</v>
      </c>
      <c r="B13" s="27" t="s">
        <v>169</v>
      </c>
      <c r="C13" s="27" t="s">
        <v>170</v>
      </c>
      <c r="D13" s="27" t="s">
        <v>157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C0C5D-9742-4269-BC48-2578A3F62A63}">
  <sheetPr codeName="Sheet5"/>
  <dimension ref="A1:L12"/>
  <sheetViews>
    <sheetView tabSelected="1" workbookViewId="0">
      <selection activeCell="G10" sqref="G10"/>
    </sheetView>
  </sheetViews>
  <sheetFormatPr defaultRowHeight="15"/>
  <cols>
    <col min="2" max="2" width="11.28515625" style="2" customWidth="1"/>
    <col min="3" max="3" width="11.28515625" customWidth="1"/>
    <col min="4" max="5" width="15.5703125" bestFit="1" customWidth="1"/>
    <col min="7" max="7" width="13.85546875" bestFit="1" customWidth="1"/>
    <col min="8" max="8" width="14.42578125" bestFit="1" customWidth="1"/>
    <col min="9" max="9" width="15.7109375" bestFit="1" customWidth="1"/>
    <col min="10" max="10" width="15.7109375" customWidth="1"/>
    <col min="11" max="11" width="16.7109375" bestFit="1" customWidth="1"/>
    <col min="12" max="12" width="13.28515625" customWidth="1"/>
  </cols>
  <sheetData>
    <row r="1" spans="1:12">
      <c r="A1" s="5" t="s">
        <v>66</v>
      </c>
      <c r="B1" s="21" t="s">
        <v>67</v>
      </c>
      <c r="C1" s="5" t="s">
        <v>68</v>
      </c>
      <c r="D1" s="5" t="s">
        <v>69</v>
      </c>
      <c r="E1" s="5" t="s">
        <v>70</v>
      </c>
      <c r="F1" s="5" t="s">
        <v>71</v>
      </c>
      <c r="G1" s="5" t="s">
        <v>69</v>
      </c>
      <c r="H1" s="5" t="s">
        <v>72</v>
      </c>
      <c r="I1" s="5" t="s">
        <v>69</v>
      </c>
      <c r="J1" s="5" t="s">
        <v>73</v>
      </c>
      <c r="K1" s="5" t="s">
        <v>69</v>
      </c>
      <c r="L1" s="5" t="s">
        <v>74</v>
      </c>
    </row>
    <row r="2" spans="1:12">
      <c r="A2" s="19" t="s">
        <v>76</v>
      </c>
      <c r="B2" s="1">
        <v>45293</v>
      </c>
      <c r="D2" t="s">
        <v>48</v>
      </c>
      <c r="E2" t="s">
        <v>52</v>
      </c>
      <c r="F2">
        <f>VLOOKUP(SUMMARY!$B$1,Table1[#All],MATCH('INTERPOLATED RATE'!D2,Table1[#Headers],0),0)+VLOOKUP(SUMMARY!$B$1,Table1[#All],MATCH('INTERPOLATED RATE'!E2,Table1[#Headers],0),0)</f>
        <v>5.4064399999999999</v>
      </c>
      <c r="G2" t="s">
        <v>23</v>
      </c>
      <c r="I2" t="s">
        <v>17</v>
      </c>
      <c r="K2" t="s">
        <v>39</v>
      </c>
      <c r="L2">
        <f>VLOOKUP(SUMMARY!$B$1,Table1[#All],MATCH('INTERPOLATED RATE'!K2,Table1[#Headers],0),0)</f>
        <v>5.4219999999999997</v>
      </c>
    </row>
    <row r="3" spans="1:12">
      <c r="A3" s="19" t="s">
        <v>77</v>
      </c>
      <c r="B3" s="1">
        <v>45294</v>
      </c>
      <c r="C3">
        <v>1</v>
      </c>
      <c r="F3" s="17">
        <f>F2+(F8-F2)/(B8-B3)*(B3-B2)</f>
        <v>5.4085320000000001</v>
      </c>
      <c r="G3" t="s">
        <v>24</v>
      </c>
    </row>
    <row r="4" spans="1:12">
      <c r="A4" s="19" t="s">
        <v>78</v>
      </c>
      <c r="B4" s="1">
        <v>45295</v>
      </c>
      <c r="C4">
        <v>1</v>
      </c>
      <c r="F4" s="17"/>
      <c r="G4" t="s">
        <v>25</v>
      </c>
    </row>
    <row r="5" spans="1:12">
      <c r="A5" s="19" t="s">
        <v>79</v>
      </c>
      <c r="B5" s="1">
        <v>45301</v>
      </c>
      <c r="C5">
        <v>6</v>
      </c>
      <c r="F5" s="17"/>
      <c r="G5" t="s">
        <v>26</v>
      </c>
      <c r="I5" t="s">
        <v>19</v>
      </c>
    </row>
    <row r="6" spans="1:12">
      <c r="A6" s="19" t="s">
        <v>80</v>
      </c>
      <c r="B6" s="1">
        <v>45308</v>
      </c>
      <c r="C6">
        <v>7</v>
      </c>
      <c r="F6" s="17"/>
      <c r="G6" t="s">
        <v>27</v>
      </c>
      <c r="K6" t="s">
        <v>41</v>
      </c>
      <c r="L6">
        <f>VLOOKUP(SUMMARY!$B$1,Table1[#All],MATCH('INTERPOLATED RATE'!K6,Table1[#Headers],0),0)</f>
        <v>5.5170000000000003</v>
      </c>
    </row>
    <row r="7" spans="1:12">
      <c r="A7" s="19" t="s">
        <v>81</v>
      </c>
      <c r="B7" s="1">
        <v>45315</v>
      </c>
      <c r="C7">
        <v>7</v>
      </c>
      <c r="F7" s="17"/>
      <c r="G7" t="s">
        <v>28</v>
      </c>
    </row>
    <row r="8" spans="1:12">
      <c r="A8" s="19" t="s">
        <v>82</v>
      </c>
      <c r="B8" s="1">
        <v>45324</v>
      </c>
      <c r="C8">
        <v>9</v>
      </c>
      <c r="D8" t="s">
        <v>44</v>
      </c>
      <c r="E8" t="s">
        <v>53</v>
      </c>
      <c r="F8">
        <f>VLOOKUP(SUMMARY!$B$1,Table1[#All],MATCH('INTERPOLATED RATE'!D8,Table1[#Headers],0),0)+VLOOKUP(SUMMARY!$B$1,Table1[#All],MATCH('INTERPOLATED RATE'!E8,Table1[#Headers],0),0)</f>
        <v>5.4692000000000007</v>
      </c>
      <c r="G8" t="s">
        <v>29</v>
      </c>
      <c r="I8" t="s">
        <v>18</v>
      </c>
      <c r="K8" t="s">
        <v>40</v>
      </c>
    </row>
    <row r="9" spans="1:12">
      <c r="A9" s="19" t="s">
        <v>83</v>
      </c>
      <c r="B9" s="1">
        <v>45355</v>
      </c>
      <c r="C9">
        <v>31</v>
      </c>
      <c r="G9" t="s">
        <v>30</v>
      </c>
    </row>
    <row r="10" spans="1:12">
      <c r="A10" s="19" t="s">
        <v>84</v>
      </c>
      <c r="B10" s="1">
        <v>45385</v>
      </c>
      <c r="C10">
        <v>30</v>
      </c>
      <c r="D10" t="s">
        <v>45</v>
      </c>
      <c r="E10" t="s">
        <v>54</v>
      </c>
      <c r="G10" t="s">
        <v>31</v>
      </c>
      <c r="I10" t="s">
        <v>20</v>
      </c>
    </row>
    <row r="11" spans="1:12">
      <c r="A11" s="19" t="s">
        <v>85</v>
      </c>
      <c r="B11" s="1">
        <v>45476</v>
      </c>
      <c r="C11">
        <v>91</v>
      </c>
      <c r="D11" t="s">
        <v>46</v>
      </c>
      <c r="E11" t="s">
        <v>55</v>
      </c>
      <c r="I11" t="s">
        <v>21</v>
      </c>
    </row>
    <row r="12" spans="1:12">
      <c r="A12" s="19" t="s">
        <v>86</v>
      </c>
      <c r="B12" s="1">
        <v>45660</v>
      </c>
      <c r="C12">
        <v>184</v>
      </c>
      <c r="D12" t="s">
        <v>47</v>
      </c>
      <c r="E12" t="s">
        <v>56</v>
      </c>
      <c r="I12" t="s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F71F-0F02-4BBF-9BC3-BE1A5A28C7FD}">
  <sheetPr codeName="Sheet6"/>
  <dimension ref="A2:U369"/>
  <sheetViews>
    <sheetView workbookViewId="0">
      <selection activeCell="R4" sqref="R4:U135"/>
    </sheetView>
  </sheetViews>
  <sheetFormatPr defaultRowHeight="15"/>
  <cols>
    <col min="17" max="17" width="10.42578125" bestFit="1" customWidth="1"/>
    <col min="18" max="18" width="13.7109375" bestFit="1" customWidth="1"/>
    <col min="19" max="19" width="15.85546875" bestFit="1" customWidth="1"/>
    <col min="20" max="21" width="13.7109375" bestFit="1" customWidth="1"/>
  </cols>
  <sheetData>
    <row r="2" spans="1:21">
      <c r="A2" t="s">
        <v>66</v>
      </c>
      <c r="B2" t="s">
        <v>67</v>
      </c>
      <c r="C2" t="s">
        <v>68</v>
      </c>
      <c r="D2" t="s">
        <v>69</v>
      </c>
      <c r="E2" t="s">
        <v>70</v>
      </c>
      <c r="F2" t="s">
        <v>71</v>
      </c>
      <c r="G2" t="s">
        <v>69</v>
      </c>
      <c r="H2" t="s">
        <v>72</v>
      </c>
      <c r="I2" t="s">
        <v>69</v>
      </c>
      <c r="J2" t="s">
        <v>73</v>
      </c>
      <c r="K2" t="s">
        <v>69</v>
      </c>
      <c r="L2" t="s">
        <v>74</v>
      </c>
      <c r="P2" t="s">
        <v>119</v>
      </c>
      <c r="Q2" t="s">
        <v>0</v>
      </c>
      <c r="R2" t="s">
        <v>71</v>
      </c>
      <c r="S2" t="s">
        <v>72</v>
      </c>
      <c r="T2" t="s">
        <v>73</v>
      </c>
      <c r="U2" t="s">
        <v>74</v>
      </c>
    </row>
    <row r="3" spans="1:21">
      <c r="A3" t="s">
        <v>76</v>
      </c>
      <c r="B3">
        <v>45293</v>
      </c>
      <c r="D3" t="s">
        <v>48</v>
      </c>
      <c r="E3" t="s">
        <v>52</v>
      </c>
      <c r="F3">
        <v>5.4064399999999999E-2</v>
      </c>
      <c r="G3" t="s">
        <v>23</v>
      </c>
      <c r="H3">
        <v>1.7600000000000001E-2</v>
      </c>
      <c r="I3" t="s">
        <v>17</v>
      </c>
      <c r="J3">
        <v>3.9016999999999996E-2</v>
      </c>
      <c r="K3" t="s">
        <v>39</v>
      </c>
      <c r="L3">
        <v>5.4219999999999997E-2</v>
      </c>
    </row>
    <row r="4" spans="1:21">
      <c r="A4" t="s">
        <v>77</v>
      </c>
      <c r="B4">
        <v>45294</v>
      </c>
      <c r="C4">
        <v>1</v>
      </c>
      <c r="F4">
        <v>5.4084645161290322E-2</v>
      </c>
      <c r="G4" t="s">
        <v>24</v>
      </c>
      <c r="H4">
        <v>4.2500000000000003E-3</v>
      </c>
      <c r="J4">
        <v>3.9045125E-2</v>
      </c>
      <c r="L4">
        <v>5.4283333333333329E-2</v>
      </c>
      <c r="P4">
        <v>0</v>
      </c>
      <c r="Q4" s="18">
        <v>45289</v>
      </c>
      <c r="R4" s="16"/>
      <c r="S4" s="16"/>
      <c r="T4" s="16"/>
      <c r="U4" s="16">
        <f>IF(ISNA(VLOOKUP(Q4,B:L,11,0)),_xlfn.FORECAST.LINEAR(Q4,$L$3:$L$13,$B$3:$B$13),VLOOKUP(Q4,B:L,11,0))</f>
        <v>5.4124762938300597E-2</v>
      </c>
    </row>
    <row r="5" spans="1:21">
      <c r="A5" t="s">
        <v>78</v>
      </c>
      <c r="B5">
        <v>45295</v>
      </c>
      <c r="C5">
        <v>1</v>
      </c>
      <c r="F5">
        <v>5.4104890322580645E-2</v>
      </c>
      <c r="G5" t="s">
        <v>25</v>
      </c>
      <c r="H5">
        <v>4.2699999999999995E-3</v>
      </c>
      <c r="J5">
        <v>3.9073249999999997E-2</v>
      </c>
      <c r="L5">
        <v>5.4346666666666668E-2</v>
      </c>
      <c r="P5">
        <f>P4+1</f>
        <v>1</v>
      </c>
      <c r="Q5" s="18">
        <v>45290</v>
      </c>
      <c r="R5" s="16"/>
      <c r="S5" s="16"/>
      <c r="T5" s="16"/>
      <c r="U5" s="16">
        <f t="shared" ref="U5:U68" si="0">IF(ISNA(VLOOKUP(Q5,B:L,11,0)),_xlfn.FORECAST.LINEAR(Q5,$L$3:$L$13,$B$3:$B$13),VLOOKUP(Q5,B:L,11,0))</f>
        <v>5.4168707574735908E-2</v>
      </c>
    </row>
    <row r="6" spans="1:21">
      <c r="A6" t="s">
        <v>79</v>
      </c>
      <c r="B6">
        <v>45301</v>
      </c>
      <c r="C6">
        <v>6</v>
      </c>
      <c r="F6">
        <v>5.4226361290322579E-2</v>
      </c>
      <c r="G6" t="s">
        <v>26</v>
      </c>
      <c r="H6">
        <v>2.9600000000000001E-2</v>
      </c>
      <c r="I6" t="s">
        <v>19</v>
      </c>
      <c r="J6">
        <v>3.9241999999999999E-2</v>
      </c>
      <c r="L6">
        <v>5.4726666666666667E-2</v>
      </c>
      <c r="P6">
        <f t="shared" ref="P6:P69" si="1">P5+1</f>
        <v>2</v>
      </c>
      <c r="Q6" s="18">
        <v>45291</v>
      </c>
      <c r="R6" s="16"/>
      <c r="S6" s="16"/>
      <c r="T6" s="16"/>
      <c r="U6" s="16">
        <f t="shared" si="0"/>
        <v>5.4212652211170997E-2</v>
      </c>
    </row>
    <row r="7" spans="1:21">
      <c r="A7" t="s">
        <v>80</v>
      </c>
      <c r="B7">
        <v>45308</v>
      </c>
      <c r="C7">
        <v>7</v>
      </c>
      <c r="F7">
        <v>5.4368077419354843E-2</v>
      </c>
      <c r="G7" t="s">
        <v>27</v>
      </c>
      <c r="H7">
        <v>5.9500000000000004E-2</v>
      </c>
      <c r="J7">
        <v>3.9330260869565217E-2</v>
      </c>
      <c r="K7" t="s">
        <v>41</v>
      </c>
      <c r="L7">
        <v>5.5170000000000004E-2</v>
      </c>
      <c r="P7">
        <f t="shared" si="1"/>
        <v>3</v>
      </c>
      <c r="Q7" s="18">
        <v>45292</v>
      </c>
      <c r="R7" s="16"/>
      <c r="S7" s="16"/>
      <c r="T7" s="16"/>
      <c r="U7" s="16">
        <f t="shared" si="0"/>
        <v>5.4256596847606087E-2</v>
      </c>
    </row>
    <row r="8" spans="1:21">
      <c r="A8" t="s">
        <v>81</v>
      </c>
      <c r="B8">
        <v>45315</v>
      </c>
      <c r="C8">
        <v>7</v>
      </c>
      <c r="F8">
        <v>5.45097935483871E-2</v>
      </c>
      <c r="G8" t="s">
        <v>28</v>
      </c>
      <c r="H8">
        <v>8.9900000000000008E-2</v>
      </c>
      <c r="J8">
        <v>3.9418521739130435E-2</v>
      </c>
      <c r="L8">
        <v>5.5318750000000007E-2</v>
      </c>
      <c r="P8">
        <f t="shared" si="1"/>
        <v>4</v>
      </c>
      <c r="Q8" s="18">
        <v>45293</v>
      </c>
      <c r="R8" s="16"/>
      <c r="S8" s="16"/>
      <c r="T8" s="16"/>
      <c r="U8" s="16">
        <f t="shared" si="0"/>
        <v>5.4219999999999997E-2</v>
      </c>
    </row>
    <row r="9" spans="1:21">
      <c r="A9" t="s">
        <v>82</v>
      </c>
      <c r="B9">
        <v>45324</v>
      </c>
      <c r="C9">
        <v>9</v>
      </c>
      <c r="D9" t="s">
        <v>44</v>
      </c>
      <c r="E9" t="s">
        <v>53</v>
      </c>
      <c r="F9">
        <v>5.4692000000000005E-2</v>
      </c>
      <c r="G9" t="s">
        <v>29</v>
      </c>
      <c r="H9">
        <v>0.1426</v>
      </c>
      <c r="I9" t="s">
        <v>18</v>
      </c>
      <c r="J9">
        <v>3.9531999999999998E-2</v>
      </c>
      <c r="K9" t="s">
        <v>40</v>
      </c>
      <c r="L9">
        <v>5.5510000000000004E-2</v>
      </c>
      <c r="P9">
        <f t="shared" si="1"/>
        <v>5</v>
      </c>
      <c r="Q9" s="18">
        <v>45294</v>
      </c>
      <c r="R9" s="16"/>
      <c r="S9" s="16"/>
      <c r="T9" s="16"/>
      <c r="U9" s="16">
        <f t="shared" si="0"/>
        <v>5.4283333333333329E-2</v>
      </c>
    </row>
    <row r="10" spans="1:21">
      <c r="A10" t="s">
        <v>83</v>
      </c>
      <c r="B10">
        <v>45355</v>
      </c>
      <c r="C10">
        <v>31</v>
      </c>
      <c r="F10">
        <v>5.5321198360655743E-2</v>
      </c>
      <c r="G10" t="s">
        <v>30</v>
      </c>
      <c r="H10">
        <v>0.26590000000000003</v>
      </c>
      <c r="J10">
        <v>3.9852163934426227E-2</v>
      </c>
      <c r="L10">
        <v>5.7025108943020708E-2</v>
      </c>
      <c r="P10">
        <f t="shared" si="1"/>
        <v>6</v>
      </c>
      <c r="Q10" s="18">
        <v>45295</v>
      </c>
      <c r="R10" s="16"/>
      <c r="S10" s="16"/>
      <c r="T10" s="16"/>
      <c r="U10" s="16">
        <f t="shared" si="0"/>
        <v>5.4346666666666668E-2</v>
      </c>
    </row>
    <row r="11" spans="1:21">
      <c r="A11" t="s">
        <v>84</v>
      </c>
      <c r="B11">
        <v>45385</v>
      </c>
      <c r="C11">
        <v>30</v>
      </c>
      <c r="D11" t="s">
        <v>45</v>
      </c>
      <c r="E11" t="s">
        <v>54</v>
      </c>
      <c r="F11">
        <v>5.5930100000000003E-2</v>
      </c>
      <c r="G11" t="s">
        <v>31</v>
      </c>
      <c r="H11">
        <v>0.40570000000000001</v>
      </c>
      <c r="I11" t="s">
        <v>20</v>
      </c>
      <c r="J11">
        <v>4.0162000000000003E-2</v>
      </c>
      <c r="L11">
        <v>5.8343448036075385E-2</v>
      </c>
      <c r="P11">
        <f t="shared" si="1"/>
        <v>7</v>
      </c>
      <c r="Q11" s="18">
        <v>45296</v>
      </c>
      <c r="R11" s="16"/>
      <c r="S11" s="16"/>
      <c r="T11" s="16"/>
      <c r="U11" s="16">
        <f t="shared" si="0"/>
        <v>5.4432375393346666E-2</v>
      </c>
    </row>
    <row r="12" spans="1:21">
      <c r="A12" t="s">
        <v>85</v>
      </c>
      <c r="B12">
        <v>45476</v>
      </c>
      <c r="C12">
        <v>91</v>
      </c>
      <c r="D12" t="s">
        <v>46</v>
      </c>
      <c r="E12" t="s">
        <v>55</v>
      </c>
      <c r="F12">
        <v>5.5859800000000001E-2</v>
      </c>
      <c r="H12">
        <v>0.79858982199797879</v>
      </c>
      <c r="I12" t="s">
        <v>21</v>
      </c>
      <c r="J12">
        <v>3.9329000000000003E-2</v>
      </c>
      <c r="L12">
        <v>6.234240995167406E-2</v>
      </c>
      <c r="P12">
        <f t="shared" si="1"/>
        <v>8</v>
      </c>
      <c r="Q12" s="18">
        <v>45297</v>
      </c>
      <c r="R12" s="16"/>
      <c r="S12" s="16"/>
      <c r="T12" s="16"/>
      <c r="U12" s="16">
        <f t="shared" si="0"/>
        <v>5.4476320029781977E-2</v>
      </c>
    </row>
    <row r="13" spans="1:21">
      <c r="A13" t="s">
        <v>86</v>
      </c>
      <c r="B13">
        <v>45660</v>
      </c>
      <c r="C13">
        <v>184</v>
      </c>
      <c r="D13" t="s">
        <v>47</v>
      </c>
      <c r="E13" t="s">
        <v>56</v>
      </c>
      <c r="F13">
        <v>5.4861100000000003E-2</v>
      </c>
      <c r="H13">
        <v>1.6083410865266501</v>
      </c>
      <c r="I13" t="s">
        <v>22</v>
      </c>
      <c r="J13">
        <v>3.5462E-2</v>
      </c>
      <c r="L13">
        <v>7.0428223055742034E-2</v>
      </c>
      <c r="P13">
        <f t="shared" si="1"/>
        <v>9</v>
      </c>
      <c r="Q13" s="18">
        <v>45298</v>
      </c>
      <c r="R13" s="16"/>
      <c r="S13" s="16"/>
      <c r="T13" s="16"/>
      <c r="U13" s="16">
        <f t="shared" si="0"/>
        <v>5.4520264666217066E-2</v>
      </c>
    </row>
    <row r="14" spans="1:21">
      <c r="P14">
        <f t="shared" si="1"/>
        <v>10</v>
      </c>
      <c r="Q14" s="18">
        <v>45299</v>
      </c>
      <c r="R14" s="16"/>
      <c r="S14" s="16"/>
      <c r="T14" s="16"/>
      <c r="U14" s="16">
        <f t="shared" si="0"/>
        <v>5.4564209302652156E-2</v>
      </c>
    </row>
    <row r="15" spans="1:21">
      <c r="P15">
        <f t="shared" si="1"/>
        <v>11</v>
      </c>
      <c r="Q15" s="18">
        <v>45300</v>
      </c>
      <c r="R15" s="16"/>
      <c r="S15" s="16"/>
      <c r="T15" s="16"/>
      <c r="U15" s="16">
        <f t="shared" si="0"/>
        <v>5.4608153939087245E-2</v>
      </c>
    </row>
    <row r="16" spans="1:21">
      <c r="P16">
        <f t="shared" si="1"/>
        <v>12</v>
      </c>
      <c r="Q16" s="18">
        <v>45301</v>
      </c>
      <c r="R16" s="16"/>
      <c r="S16" s="16"/>
      <c r="T16" s="16"/>
      <c r="U16" s="16">
        <f t="shared" si="0"/>
        <v>5.4726666666666667E-2</v>
      </c>
    </row>
    <row r="17" spans="16:21">
      <c r="P17">
        <f t="shared" si="1"/>
        <v>13</v>
      </c>
      <c r="Q17" s="18">
        <v>45302</v>
      </c>
      <c r="R17" s="16"/>
      <c r="S17" s="16"/>
      <c r="T17" s="16"/>
      <c r="U17" s="16">
        <f t="shared" si="0"/>
        <v>5.4696043211957646E-2</v>
      </c>
    </row>
    <row r="18" spans="16:21">
      <c r="P18">
        <f t="shared" si="1"/>
        <v>14</v>
      </c>
      <c r="Q18" s="18">
        <v>45303</v>
      </c>
      <c r="R18" s="16"/>
      <c r="S18" s="16"/>
      <c r="T18" s="16"/>
      <c r="U18" s="16">
        <f t="shared" si="0"/>
        <v>5.4739987848392735E-2</v>
      </c>
    </row>
    <row r="19" spans="16:21">
      <c r="P19">
        <f t="shared" si="1"/>
        <v>15</v>
      </c>
      <c r="Q19" s="18">
        <v>45304</v>
      </c>
      <c r="R19" s="16"/>
      <c r="S19" s="16"/>
      <c r="T19" s="16"/>
      <c r="U19" s="16">
        <f t="shared" si="0"/>
        <v>5.4783932484827824E-2</v>
      </c>
    </row>
    <row r="20" spans="16:21">
      <c r="P20">
        <f t="shared" si="1"/>
        <v>16</v>
      </c>
      <c r="Q20" s="18">
        <v>45305</v>
      </c>
      <c r="R20" s="16"/>
      <c r="S20" s="16"/>
      <c r="T20" s="16"/>
      <c r="U20" s="16">
        <f t="shared" si="0"/>
        <v>5.4827877121263136E-2</v>
      </c>
    </row>
    <row r="21" spans="16:21">
      <c r="P21">
        <f t="shared" si="1"/>
        <v>17</v>
      </c>
      <c r="Q21" s="18">
        <v>45306</v>
      </c>
      <c r="R21" s="16"/>
      <c r="S21" s="16"/>
      <c r="T21" s="16"/>
      <c r="U21" s="16">
        <f t="shared" si="0"/>
        <v>5.4871821757698225E-2</v>
      </c>
    </row>
    <row r="22" spans="16:21">
      <c r="P22">
        <f t="shared" si="1"/>
        <v>18</v>
      </c>
      <c r="Q22" s="18">
        <v>45307</v>
      </c>
      <c r="R22" s="16"/>
      <c r="S22" s="16"/>
      <c r="T22" s="16"/>
      <c r="U22" s="16">
        <f t="shared" si="0"/>
        <v>5.4915766394133314E-2</v>
      </c>
    </row>
    <row r="23" spans="16:21">
      <c r="P23">
        <f t="shared" si="1"/>
        <v>19</v>
      </c>
      <c r="Q23" s="18">
        <v>45308</v>
      </c>
      <c r="R23" s="16"/>
      <c r="S23" s="16"/>
      <c r="T23" s="16"/>
      <c r="U23" s="16">
        <f t="shared" si="0"/>
        <v>5.5170000000000004E-2</v>
      </c>
    </row>
    <row r="24" spans="16:21">
      <c r="P24">
        <f t="shared" si="1"/>
        <v>20</v>
      </c>
      <c r="Q24" s="18">
        <v>45309</v>
      </c>
      <c r="R24" s="16"/>
      <c r="S24" s="16"/>
      <c r="T24" s="16"/>
      <c r="U24" s="16">
        <f t="shared" si="0"/>
        <v>5.5003655667003715E-2</v>
      </c>
    </row>
    <row r="25" spans="16:21">
      <c r="P25">
        <f t="shared" si="1"/>
        <v>21</v>
      </c>
      <c r="Q25" s="18">
        <v>45310</v>
      </c>
      <c r="R25" s="16"/>
      <c r="S25" s="16"/>
      <c r="T25" s="16"/>
      <c r="U25" s="16">
        <f t="shared" si="0"/>
        <v>5.5047600303438804E-2</v>
      </c>
    </row>
    <row r="26" spans="16:21">
      <c r="P26">
        <f t="shared" si="1"/>
        <v>22</v>
      </c>
      <c r="Q26" s="18">
        <v>45311</v>
      </c>
      <c r="R26" s="16"/>
      <c r="S26" s="16"/>
      <c r="T26" s="16"/>
      <c r="U26" s="16">
        <f t="shared" si="0"/>
        <v>5.5091544939873893E-2</v>
      </c>
    </row>
    <row r="27" spans="16:21">
      <c r="P27">
        <f t="shared" si="1"/>
        <v>23</v>
      </c>
      <c r="Q27" s="18">
        <v>45312</v>
      </c>
      <c r="R27" s="16"/>
      <c r="S27" s="16"/>
      <c r="T27" s="16"/>
      <c r="U27" s="16">
        <f t="shared" si="0"/>
        <v>5.5135489576309205E-2</v>
      </c>
    </row>
    <row r="28" spans="16:21">
      <c r="P28">
        <f t="shared" si="1"/>
        <v>24</v>
      </c>
      <c r="Q28" s="18">
        <v>45313</v>
      </c>
      <c r="R28" s="16"/>
      <c r="S28" s="16"/>
      <c r="T28" s="16"/>
      <c r="U28" s="16">
        <f t="shared" si="0"/>
        <v>5.5179434212744294E-2</v>
      </c>
    </row>
    <row r="29" spans="16:21">
      <c r="P29">
        <f t="shared" si="1"/>
        <v>25</v>
      </c>
      <c r="Q29" s="18">
        <v>45314</v>
      </c>
      <c r="R29" s="16"/>
      <c r="S29" s="16"/>
      <c r="T29" s="16"/>
      <c r="U29" s="16">
        <f t="shared" si="0"/>
        <v>5.5223378849179383E-2</v>
      </c>
    </row>
    <row r="30" spans="16:21">
      <c r="P30">
        <f t="shared" si="1"/>
        <v>26</v>
      </c>
      <c r="Q30" s="18">
        <v>45315</v>
      </c>
      <c r="R30" s="16"/>
      <c r="S30" s="16"/>
      <c r="T30" s="16"/>
      <c r="U30" s="16">
        <f t="shared" si="0"/>
        <v>5.5318750000000007E-2</v>
      </c>
    </row>
    <row r="31" spans="16:21">
      <c r="P31">
        <f t="shared" si="1"/>
        <v>27</v>
      </c>
      <c r="Q31" s="18">
        <v>45316</v>
      </c>
      <c r="R31" s="16"/>
      <c r="S31" s="16"/>
      <c r="T31" s="16"/>
      <c r="U31" s="16">
        <f t="shared" si="0"/>
        <v>5.5311268122049784E-2</v>
      </c>
    </row>
    <row r="32" spans="16:21">
      <c r="P32">
        <f t="shared" si="1"/>
        <v>28</v>
      </c>
      <c r="Q32" s="18">
        <v>45317</v>
      </c>
      <c r="R32" s="16"/>
      <c r="S32" s="16"/>
      <c r="T32" s="16"/>
      <c r="U32" s="16">
        <f t="shared" si="0"/>
        <v>5.5355212758484873E-2</v>
      </c>
    </row>
    <row r="33" spans="16:21">
      <c r="P33">
        <f t="shared" si="1"/>
        <v>29</v>
      </c>
      <c r="Q33" s="18">
        <v>45318</v>
      </c>
      <c r="R33" s="16"/>
      <c r="S33" s="16"/>
      <c r="T33" s="16"/>
      <c r="U33" s="16">
        <f t="shared" si="0"/>
        <v>5.5399157394919962E-2</v>
      </c>
    </row>
    <row r="34" spans="16:21">
      <c r="P34">
        <f t="shared" si="1"/>
        <v>30</v>
      </c>
      <c r="Q34" s="18">
        <v>45319</v>
      </c>
      <c r="R34" s="16"/>
      <c r="S34" s="16"/>
      <c r="T34" s="16"/>
      <c r="U34" s="16">
        <f t="shared" si="0"/>
        <v>5.5443102031355274E-2</v>
      </c>
    </row>
    <row r="35" spans="16:21">
      <c r="P35">
        <f t="shared" si="1"/>
        <v>31</v>
      </c>
      <c r="Q35" s="18">
        <v>45320</v>
      </c>
      <c r="R35" s="16"/>
      <c r="S35" s="16"/>
      <c r="T35" s="16"/>
      <c r="U35" s="16">
        <f t="shared" si="0"/>
        <v>5.5487046667790363E-2</v>
      </c>
    </row>
    <row r="36" spans="16:21">
      <c r="P36">
        <f t="shared" si="1"/>
        <v>32</v>
      </c>
      <c r="Q36" s="18">
        <v>45321</v>
      </c>
      <c r="R36" s="16"/>
      <c r="S36" s="16"/>
      <c r="T36" s="16"/>
      <c r="U36" s="16">
        <f t="shared" si="0"/>
        <v>5.5530991304225452E-2</v>
      </c>
    </row>
    <row r="37" spans="16:21">
      <c r="P37">
        <f t="shared" si="1"/>
        <v>33</v>
      </c>
      <c r="Q37" s="18">
        <v>45322</v>
      </c>
      <c r="R37" s="16"/>
      <c r="S37" s="16"/>
      <c r="T37" s="16"/>
      <c r="U37" s="16">
        <f t="shared" si="0"/>
        <v>5.5574935940660763E-2</v>
      </c>
    </row>
    <row r="38" spans="16:21">
      <c r="P38">
        <f t="shared" si="1"/>
        <v>34</v>
      </c>
      <c r="Q38" s="18">
        <v>45323</v>
      </c>
      <c r="R38" s="16"/>
      <c r="S38" s="16"/>
      <c r="T38" s="16"/>
      <c r="U38" s="16">
        <f t="shared" si="0"/>
        <v>5.5618880577095853E-2</v>
      </c>
    </row>
    <row r="39" spans="16:21">
      <c r="P39">
        <f t="shared" si="1"/>
        <v>35</v>
      </c>
      <c r="Q39" s="18">
        <v>45324</v>
      </c>
      <c r="R39" s="16"/>
      <c r="S39" s="16"/>
      <c r="T39" s="16"/>
      <c r="U39" s="16">
        <f t="shared" si="0"/>
        <v>5.5510000000000004E-2</v>
      </c>
    </row>
    <row r="40" spans="16:21">
      <c r="P40">
        <f t="shared" si="1"/>
        <v>36</v>
      </c>
      <c r="Q40" s="18">
        <v>45325</v>
      </c>
      <c r="R40" s="16"/>
      <c r="S40" s="16"/>
      <c r="T40" s="16"/>
      <c r="U40" s="16">
        <f t="shared" si="0"/>
        <v>5.5706769849966031E-2</v>
      </c>
    </row>
    <row r="41" spans="16:21">
      <c r="P41">
        <f t="shared" si="1"/>
        <v>37</v>
      </c>
      <c r="Q41" s="18">
        <v>45326</v>
      </c>
      <c r="R41" s="16"/>
      <c r="S41" s="16"/>
      <c r="T41" s="16"/>
      <c r="U41" s="16">
        <f t="shared" si="0"/>
        <v>5.5750714486401343E-2</v>
      </c>
    </row>
    <row r="42" spans="16:21">
      <c r="P42">
        <f t="shared" si="1"/>
        <v>38</v>
      </c>
      <c r="Q42" s="18">
        <v>45327</v>
      </c>
      <c r="R42" s="16"/>
      <c r="S42" s="16"/>
      <c r="T42" s="16"/>
      <c r="U42" s="16">
        <f t="shared" si="0"/>
        <v>5.5794659122836432E-2</v>
      </c>
    </row>
    <row r="43" spans="16:21">
      <c r="P43">
        <f t="shared" si="1"/>
        <v>39</v>
      </c>
      <c r="Q43" s="18">
        <v>45328</v>
      </c>
      <c r="R43" s="16"/>
      <c r="S43" s="16"/>
      <c r="T43" s="16"/>
      <c r="U43" s="16">
        <f t="shared" si="0"/>
        <v>5.5838603759271521E-2</v>
      </c>
    </row>
    <row r="44" spans="16:21">
      <c r="P44">
        <f t="shared" si="1"/>
        <v>40</v>
      </c>
      <c r="Q44" s="18">
        <v>45329</v>
      </c>
      <c r="R44" s="16"/>
      <c r="S44" s="16"/>
      <c r="T44" s="16"/>
      <c r="U44" s="16">
        <f t="shared" si="0"/>
        <v>5.588254839570661E-2</v>
      </c>
    </row>
    <row r="45" spans="16:21">
      <c r="P45">
        <f t="shared" si="1"/>
        <v>41</v>
      </c>
      <c r="Q45" s="18">
        <v>45330</v>
      </c>
      <c r="R45" s="16"/>
      <c r="S45" s="16"/>
      <c r="T45" s="16"/>
      <c r="U45" s="16">
        <f t="shared" si="0"/>
        <v>5.5926493032141922E-2</v>
      </c>
    </row>
    <row r="46" spans="16:21">
      <c r="P46">
        <f t="shared" si="1"/>
        <v>42</v>
      </c>
      <c r="Q46" s="18">
        <v>45331</v>
      </c>
      <c r="R46" s="16"/>
      <c r="S46" s="16"/>
      <c r="T46" s="16"/>
      <c r="U46" s="16">
        <f t="shared" si="0"/>
        <v>5.5970437668577011E-2</v>
      </c>
    </row>
    <row r="47" spans="16:21">
      <c r="P47">
        <f t="shared" si="1"/>
        <v>43</v>
      </c>
      <c r="Q47" s="18">
        <v>45332</v>
      </c>
      <c r="R47" s="16"/>
      <c r="S47" s="16"/>
      <c r="T47" s="16"/>
      <c r="U47" s="16">
        <f t="shared" si="0"/>
        <v>5.60143823050121E-2</v>
      </c>
    </row>
    <row r="48" spans="16:21">
      <c r="P48">
        <f t="shared" si="1"/>
        <v>44</v>
      </c>
      <c r="Q48" s="18">
        <v>45333</v>
      </c>
      <c r="R48" s="16"/>
      <c r="S48" s="16"/>
      <c r="T48" s="16"/>
      <c r="U48" s="16">
        <f t="shared" si="0"/>
        <v>5.6058326941447412E-2</v>
      </c>
    </row>
    <row r="49" spans="16:21">
      <c r="P49">
        <f t="shared" si="1"/>
        <v>45</v>
      </c>
      <c r="Q49" s="18">
        <v>45334</v>
      </c>
      <c r="R49" s="16"/>
      <c r="S49" s="16"/>
      <c r="T49" s="16"/>
      <c r="U49" s="16">
        <f t="shared" si="0"/>
        <v>5.6102271577882501E-2</v>
      </c>
    </row>
    <row r="50" spans="16:21">
      <c r="P50">
        <f t="shared" si="1"/>
        <v>46</v>
      </c>
      <c r="Q50" s="18">
        <v>45335</v>
      </c>
      <c r="R50" s="16"/>
      <c r="S50" s="16"/>
      <c r="T50" s="16"/>
      <c r="U50" s="16">
        <f t="shared" si="0"/>
        <v>5.614621621431759E-2</v>
      </c>
    </row>
    <row r="51" spans="16:21">
      <c r="P51">
        <f t="shared" si="1"/>
        <v>47</v>
      </c>
      <c r="Q51" s="18">
        <v>45336</v>
      </c>
      <c r="R51" s="16"/>
      <c r="S51" s="16"/>
      <c r="T51" s="16"/>
      <c r="U51" s="16">
        <f t="shared" si="0"/>
        <v>5.619016085075268E-2</v>
      </c>
    </row>
    <row r="52" spans="16:21">
      <c r="P52">
        <f t="shared" si="1"/>
        <v>48</v>
      </c>
      <c r="Q52" s="18">
        <v>45337</v>
      </c>
      <c r="R52" s="16"/>
      <c r="S52" s="16"/>
      <c r="T52" s="16"/>
      <c r="U52" s="16">
        <f t="shared" si="0"/>
        <v>5.6234105487187991E-2</v>
      </c>
    </row>
    <row r="53" spans="16:21">
      <c r="P53">
        <f t="shared" si="1"/>
        <v>49</v>
      </c>
      <c r="Q53" s="18">
        <v>45338</v>
      </c>
      <c r="R53" s="16"/>
      <c r="S53" s="16"/>
      <c r="T53" s="16"/>
      <c r="U53" s="16">
        <f t="shared" si="0"/>
        <v>5.627805012362308E-2</v>
      </c>
    </row>
    <row r="54" spans="16:21">
      <c r="P54">
        <f t="shared" si="1"/>
        <v>50</v>
      </c>
      <c r="Q54" s="18">
        <v>45339</v>
      </c>
      <c r="R54" s="16"/>
      <c r="S54" s="16"/>
      <c r="T54" s="16"/>
      <c r="U54" s="16">
        <f t="shared" si="0"/>
        <v>5.6321994760058169E-2</v>
      </c>
    </row>
    <row r="55" spans="16:21">
      <c r="P55">
        <f t="shared" si="1"/>
        <v>51</v>
      </c>
      <c r="Q55" s="18">
        <v>45340</v>
      </c>
      <c r="R55" s="16"/>
      <c r="S55" s="16"/>
      <c r="T55" s="16"/>
      <c r="U55" s="16">
        <f t="shared" si="0"/>
        <v>5.6365939396493481E-2</v>
      </c>
    </row>
    <row r="56" spans="16:21">
      <c r="P56">
        <f t="shared" si="1"/>
        <v>52</v>
      </c>
      <c r="Q56" s="18">
        <v>45341</v>
      </c>
      <c r="R56" s="16"/>
      <c r="S56" s="16"/>
      <c r="T56" s="16"/>
      <c r="U56" s="16">
        <f t="shared" si="0"/>
        <v>5.640988403292857E-2</v>
      </c>
    </row>
    <row r="57" spans="16:21">
      <c r="P57">
        <f t="shared" si="1"/>
        <v>53</v>
      </c>
      <c r="Q57" s="18">
        <v>45342</v>
      </c>
      <c r="R57" s="16"/>
      <c r="S57" s="16"/>
      <c r="T57" s="16"/>
      <c r="U57" s="16">
        <f t="shared" si="0"/>
        <v>5.6453828669363659E-2</v>
      </c>
    </row>
    <row r="58" spans="16:21">
      <c r="P58">
        <f t="shared" si="1"/>
        <v>54</v>
      </c>
      <c r="Q58" s="18">
        <v>45343</v>
      </c>
      <c r="R58" s="16"/>
      <c r="S58" s="16"/>
      <c r="T58" s="16"/>
      <c r="U58" s="16">
        <f t="shared" si="0"/>
        <v>5.6497773305798749E-2</v>
      </c>
    </row>
    <row r="59" spans="16:21">
      <c r="P59">
        <f t="shared" si="1"/>
        <v>55</v>
      </c>
      <c r="Q59" s="18">
        <v>45344</v>
      </c>
      <c r="R59" s="16"/>
      <c r="S59" s="16"/>
      <c r="T59" s="16"/>
      <c r="U59" s="16">
        <f t="shared" si="0"/>
        <v>5.654171794223406E-2</v>
      </c>
    </row>
    <row r="60" spans="16:21">
      <c r="P60">
        <f t="shared" si="1"/>
        <v>56</v>
      </c>
      <c r="Q60" s="18">
        <v>45345</v>
      </c>
      <c r="R60" s="16"/>
      <c r="S60" s="16"/>
      <c r="T60" s="16"/>
      <c r="U60" s="16">
        <f t="shared" si="0"/>
        <v>5.6585662578669149E-2</v>
      </c>
    </row>
    <row r="61" spans="16:21">
      <c r="P61">
        <f t="shared" si="1"/>
        <v>57</v>
      </c>
      <c r="Q61" s="18">
        <v>45346</v>
      </c>
      <c r="R61" s="16"/>
      <c r="S61" s="16"/>
      <c r="T61" s="16"/>
      <c r="U61" s="16">
        <f t="shared" si="0"/>
        <v>5.6629607215104238E-2</v>
      </c>
    </row>
    <row r="62" spans="16:21">
      <c r="P62">
        <f t="shared" si="1"/>
        <v>58</v>
      </c>
      <c r="Q62" s="18">
        <v>45347</v>
      </c>
      <c r="R62" s="16"/>
      <c r="S62" s="16"/>
      <c r="T62" s="16"/>
      <c r="U62" s="16">
        <f t="shared" si="0"/>
        <v>5.667355185153955E-2</v>
      </c>
    </row>
    <row r="63" spans="16:21">
      <c r="P63">
        <f t="shared" si="1"/>
        <v>59</v>
      </c>
      <c r="Q63" s="18">
        <v>45348</v>
      </c>
      <c r="R63" s="16"/>
      <c r="S63" s="16"/>
      <c r="T63" s="16"/>
      <c r="U63" s="16">
        <f t="shared" si="0"/>
        <v>5.6717496487974639E-2</v>
      </c>
    </row>
    <row r="64" spans="16:21">
      <c r="P64">
        <f t="shared" si="1"/>
        <v>60</v>
      </c>
      <c r="Q64" s="18">
        <v>45349</v>
      </c>
      <c r="R64" s="16"/>
      <c r="S64" s="16"/>
      <c r="T64" s="16"/>
      <c r="U64" s="16">
        <f t="shared" si="0"/>
        <v>5.6761441124409728E-2</v>
      </c>
    </row>
    <row r="65" spans="16:21">
      <c r="P65">
        <f t="shared" si="1"/>
        <v>61</v>
      </c>
      <c r="Q65" s="18">
        <v>45350</v>
      </c>
      <c r="R65" s="16"/>
      <c r="S65" s="16"/>
      <c r="T65" s="16"/>
      <c r="U65" s="16">
        <f t="shared" si="0"/>
        <v>5.6805385760844818E-2</v>
      </c>
    </row>
    <row r="66" spans="16:21">
      <c r="P66">
        <f t="shared" si="1"/>
        <v>62</v>
      </c>
      <c r="Q66" s="18">
        <v>45351</v>
      </c>
      <c r="R66" s="16"/>
      <c r="S66" s="16"/>
      <c r="T66" s="16"/>
      <c r="U66" s="16">
        <f t="shared" si="0"/>
        <v>5.6849330397280129E-2</v>
      </c>
    </row>
    <row r="67" spans="16:21">
      <c r="P67">
        <f t="shared" si="1"/>
        <v>63</v>
      </c>
      <c r="Q67" s="18">
        <v>45352</v>
      </c>
      <c r="R67" s="16"/>
      <c r="S67" s="16"/>
      <c r="T67" s="16"/>
      <c r="U67" s="16">
        <f t="shared" si="0"/>
        <v>5.6893275033715218E-2</v>
      </c>
    </row>
    <row r="68" spans="16:21">
      <c r="P68">
        <f t="shared" si="1"/>
        <v>64</v>
      </c>
      <c r="Q68" s="18">
        <v>45353</v>
      </c>
      <c r="R68" s="16"/>
      <c r="S68" s="16"/>
      <c r="T68" s="16"/>
      <c r="U68" s="16">
        <f t="shared" si="0"/>
        <v>5.6937219670150307E-2</v>
      </c>
    </row>
    <row r="69" spans="16:21">
      <c r="P69">
        <f t="shared" si="1"/>
        <v>65</v>
      </c>
      <c r="Q69" s="18">
        <v>45354</v>
      </c>
      <c r="R69" s="16"/>
      <c r="S69" s="16"/>
      <c r="T69" s="16"/>
      <c r="U69" s="16">
        <f t="shared" ref="U69:U132" si="2">IF(ISNA(VLOOKUP(Q69,B:L,11,0)),_xlfn.FORECAST.LINEAR(Q69,$L$3:$L$13,$B$3:$B$13),VLOOKUP(Q69,B:L,11,0))</f>
        <v>5.6981164306585619E-2</v>
      </c>
    </row>
    <row r="70" spans="16:21">
      <c r="P70">
        <f t="shared" ref="P70:P133" si="3">P69+1</f>
        <v>66</v>
      </c>
      <c r="Q70" s="18">
        <v>45355</v>
      </c>
      <c r="R70" s="16"/>
      <c r="S70" s="16"/>
      <c r="T70" s="16"/>
      <c r="U70" s="16">
        <f t="shared" si="2"/>
        <v>5.7025108943020708E-2</v>
      </c>
    </row>
    <row r="71" spans="16:21">
      <c r="P71">
        <f t="shared" si="3"/>
        <v>67</v>
      </c>
      <c r="Q71" s="18">
        <v>45356</v>
      </c>
      <c r="R71" s="16"/>
      <c r="S71" s="16"/>
      <c r="T71" s="16"/>
      <c r="U71" s="16">
        <f t="shared" si="2"/>
        <v>5.7069053579455797E-2</v>
      </c>
    </row>
    <row r="72" spans="16:21">
      <c r="P72">
        <f t="shared" si="3"/>
        <v>68</v>
      </c>
      <c r="Q72" s="18">
        <v>45357</v>
      </c>
      <c r="R72" s="16"/>
      <c r="S72" s="16"/>
      <c r="T72" s="16"/>
      <c r="U72" s="16">
        <f t="shared" si="2"/>
        <v>5.7112998215890887E-2</v>
      </c>
    </row>
    <row r="73" spans="16:21">
      <c r="P73">
        <f t="shared" si="3"/>
        <v>69</v>
      </c>
      <c r="Q73" s="18">
        <v>45358</v>
      </c>
      <c r="R73" s="16"/>
      <c r="S73" s="16"/>
      <c r="T73" s="16"/>
      <c r="U73" s="16">
        <f t="shared" si="2"/>
        <v>5.7156942852326198E-2</v>
      </c>
    </row>
    <row r="74" spans="16:21">
      <c r="P74">
        <f t="shared" si="3"/>
        <v>70</v>
      </c>
      <c r="Q74" s="18">
        <v>45359</v>
      </c>
      <c r="R74" s="16"/>
      <c r="S74" s="16"/>
      <c r="T74" s="16"/>
      <c r="U74" s="16">
        <f t="shared" si="2"/>
        <v>5.7200887488761287E-2</v>
      </c>
    </row>
    <row r="75" spans="16:21">
      <c r="P75">
        <f t="shared" si="3"/>
        <v>71</v>
      </c>
      <c r="Q75" s="18">
        <v>45360</v>
      </c>
      <c r="R75" s="16"/>
      <c r="S75" s="16"/>
      <c r="T75" s="16"/>
      <c r="U75" s="16">
        <f t="shared" si="2"/>
        <v>5.7244832125196377E-2</v>
      </c>
    </row>
    <row r="76" spans="16:21">
      <c r="P76">
        <f t="shared" si="3"/>
        <v>72</v>
      </c>
      <c r="Q76" s="18">
        <v>45361</v>
      </c>
      <c r="R76" s="16"/>
      <c r="S76" s="16"/>
      <c r="T76" s="16"/>
      <c r="U76" s="16">
        <f t="shared" si="2"/>
        <v>5.7288776761631466E-2</v>
      </c>
    </row>
    <row r="77" spans="16:21">
      <c r="P77">
        <f t="shared" si="3"/>
        <v>73</v>
      </c>
      <c r="Q77" s="18">
        <v>45362</v>
      </c>
      <c r="R77" s="16"/>
      <c r="S77" s="16"/>
      <c r="T77" s="16"/>
      <c r="U77" s="16">
        <f t="shared" si="2"/>
        <v>5.7332721398066777E-2</v>
      </c>
    </row>
    <row r="78" spans="16:21">
      <c r="P78">
        <f t="shared" si="3"/>
        <v>74</v>
      </c>
      <c r="Q78" s="18">
        <v>45363</v>
      </c>
      <c r="R78" s="16"/>
      <c r="S78" s="16"/>
      <c r="T78" s="16"/>
      <c r="U78" s="16">
        <f t="shared" si="2"/>
        <v>5.7376666034501866E-2</v>
      </c>
    </row>
    <row r="79" spans="16:21">
      <c r="P79">
        <f t="shared" si="3"/>
        <v>75</v>
      </c>
      <c r="Q79" s="18">
        <v>45364</v>
      </c>
      <c r="R79" s="16"/>
      <c r="S79" s="16"/>
      <c r="T79" s="16"/>
      <c r="U79" s="16">
        <f t="shared" si="2"/>
        <v>5.7420610670936956E-2</v>
      </c>
    </row>
    <row r="80" spans="16:21">
      <c r="P80">
        <f t="shared" si="3"/>
        <v>76</v>
      </c>
      <c r="Q80" s="18">
        <v>45365</v>
      </c>
      <c r="R80" s="16"/>
      <c r="S80" s="16"/>
      <c r="T80" s="16"/>
      <c r="U80" s="16">
        <f t="shared" si="2"/>
        <v>5.7464555307372267E-2</v>
      </c>
    </row>
    <row r="81" spans="16:21">
      <c r="P81">
        <f t="shared" si="3"/>
        <v>77</v>
      </c>
      <c r="Q81" s="18">
        <v>45366</v>
      </c>
      <c r="R81" s="16"/>
      <c r="S81" s="16"/>
      <c r="T81" s="16"/>
      <c r="U81" s="16">
        <f t="shared" si="2"/>
        <v>5.7508499943807356E-2</v>
      </c>
    </row>
    <row r="82" spans="16:21">
      <c r="P82">
        <f t="shared" si="3"/>
        <v>78</v>
      </c>
      <c r="Q82" s="18">
        <v>45367</v>
      </c>
      <c r="R82" s="16"/>
      <c r="S82" s="16"/>
      <c r="T82" s="16"/>
      <c r="U82" s="16">
        <f t="shared" si="2"/>
        <v>5.7552444580242446E-2</v>
      </c>
    </row>
    <row r="83" spans="16:21">
      <c r="P83">
        <f t="shared" si="3"/>
        <v>79</v>
      </c>
      <c r="Q83" s="18">
        <v>45368</v>
      </c>
      <c r="R83" s="16"/>
      <c r="S83" s="16"/>
      <c r="T83" s="16"/>
      <c r="U83" s="16">
        <f t="shared" si="2"/>
        <v>5.7596389216677535E-2</v>
      </c>
    </row>
    <row r="84" spans="16:21">
      <c r="P84">
        <f t="shared" si="3"/>
        <v>80</v>
      </c>
      <c r="Q84" s="18">
        <v>45369</v>
      </c>
      <c r="R84" s="16"/>
      <c r="S84" s="16"/>
      <c r="T84" s="16"/>
      <c r="U84" s="16">
        <f t="shared" si="2"/>
        <v>5.7640333853112846E-2</v>
      </c>
    </row>
    <row r="85" spans="16:21">
      <c r="P85">
        <f t="shared" si="3"/>
        <v>81</v>
      </c>
      <c r="Q85" s="18">
        <v>45370</v>
      </c>
      <c r="R85" s="16"/>
      <c r="S85" s="16"/>
      <c r="T85" s="16"/>
      <c r="U85" s="16">
        <f t="shared" si="2"/>
        <v>5.7684278489547935E-2</v>
      </c>
    </row>
    <row r="86" spans="16:21">
      <c r="P86">
        <f t="shared" si="3"/>
        <v>82</v>
      </c>
      <c r="Q86" s="18">
        <v>45371</v>
      </c>
      <c r="R86" s="16"/>
      <c r="S86" s="16"/>
      <c r="T86" s="16"/>
      <c r="U86" s="16">
        <f t="shared" si="2"/>
        <v>5.7728223125983025E-2</v>
      </c>
    </row>
    <row r="87" spans="16:21">
      <c r="P87">
        <f t="shared" si="3"/>
        <v>83</v>
      </c>
      <c r="Q87" s="18">
        <v>45372</v>
      </c>
      <c r="R87" s="16"/>
      <c r="S87" s="16"/>
      <c r="T87" s="16"/>
      <c r="U87" s="16">
        <f t="shared" si="2"/>
        <v>5.7772167762418336E-2</v>
      </c>
    </row>
    <row r="88" spans="16:21">
      <c r="P88">
        <f t="shared" si="3"/>
        <v>84</v>
      </c>
      <c r="Q88" s="18">
        <v>45373</v>
      </c>
      <c r="R88" s="16"/>
      <c r="S88" s="16"/>
      <c r="T88" s="16"/>
      <c r="U88" s="16">
        <f t="shared" si="2"/>
        <v>5.7816112398853425E-2</v>
      </c>
    </row>
    <row r="89" spans="16:21">
      <c r="P89">
        <f t="shared" si="3"/>
        <v>85</v>
      </c>
      <c r="Q89" s="18">
        <v>45374</v>
      </c>
      <c r="R89" s="16"/>
      <c r="S89" s="16"/>
      <c r="T89" s="16"/>
      <c r="U89" s="16">
        <f t="shared" si="2"/>
        <v>5.7860057035288515E-2</v>
      </c>
    </row>
    <row r="90" spans="16:21">
      <c r="P90">
        <f t="shared" si="3"/>
        <v>86</v>
      </c>
      <c r="Q90" s="18">
        <v>45375</v>
      </c>
      <c r="R90" s="16"/>
      <c r="S90" s="16"/>
      <c r="T90" s="16"/>
      <c r="U90" s="16">
        <f t="shared" si="2"/>
        <v>5.7904001671723604E-2</v>
      </c>
    </row>
    <row r="91" spans="16:21">
      <c r="P91">
        <f t="shared" si="3"/>
        <v>87</v>
      </c>
      <c r="Q91" s="18">
        <v>45376</v>
      </c>
      <c r="R91" s="16"/>
      <c r="S91" s="16"/>
      <c r="T91" s="16"/>
      <c r="U91" s="16">
        <f t="shared" si="2"/>
        <v>5.7947946308158915E-2</v>
      </c>
    </row>
    <row r="92" spans="16:21">
      <c r="P92">
        <f t="shared" si="3"/>
        <v>88</v>
      </c>
      <c r="Q92" s="18">
        <v>45377</v>
      </c>
      <c r="R92" s="16"/>
      <c r="S92" s="16"/>
      <c r="T92" s="16"/>
      <c r="U92" s="16">
        <f t="shared" si="2"/>
        <v>5.7991890944594005E-2</v>
      </c>
    </row>
    <row r="93" spans="16:21">
      <c r="P93">
        <f t="shared" si="3"/>
        <v>89</v>
      </c>
      <c r="Q93" s="18">
        <v>45378</v>
      </c>
      <c r="R93" s="16"/>
      <c r="S93" s="16"/>
      <c r="T93" s="16"/>
      <c r="U93" s="16">
        <f t="shared" si="2"/>
        <v>5.8035835581029094E-2</v>
      </c>
    </row>
    <row r="94" spans="16:21">
      <c r="P94">
        <f t="shared" si="3"/>
        <v>90</v>
      </c>
      <c r="Q94" s="18">
        <v>45379</v>
      </c>
      <c r="R94" s="16"/>
      <c r="S94" s="16"/>
      <c r="T94" s="16"/>
      <c r="U94" s="16">
        <f t="shared" si="2"/>
        <v>5.8079780217464405E-2</v>
      </c>
    </row>
    <row r="95" spans="16:21">
      <c r="P95">
        <f t="shared" si="3"/>
        <v>91</v>
      </c>
      <c r="Q95" s="18">
        <v>45380</v>
      </c>
      <c r="R95" s="16"/>
      <c r="S95" s="16"/>
      <c r="T95" s="16"/>
      <c r="U95" s="16">
        <f t="shared" si="2"/>
        <v>5.8123724853899494E-2</v>
      </c>
    </row>
    <row r="96" spans="16:21">
      <c r="P96">
        <f t="shared" si="3"/>
        <v>92</v>
      </c>
      <c r="Q96" s="18">
        <v>45381</v>
      </c>
      <c r="R96" s="16"/>
      <c r="S96" s="16"/>
      <c r="T96" s="16"/>
      <c r="U96" s="16">
        <f t="shared" si="2"/>
        <v>5.8167669490334584E-2</v>
      </c>
    </row>
    <row r="97" spans="16:21">
      <c r="P97">
        <f t="shared" si="3"/>
        <v>93</v>
      </c>
      <c r="Q97" s="18">
        <v>45382</v>
      </c>
      <c r="R97" s="16"/>
      <c r="S97" s="16"/>
      <c r="T97" s="16"/>
      <c r="U97" s="16">
        <f t="shared" si="2"/>
        <v>5.8211614126769673E-2</v>
      </c>
    </row>
    <row r="98" spans="16:21">
      <c r="P98">
        <f t="shared" si="3"/>
        <v>94</v>
      </c>
      <c r="Q98" s="18">
        <v>45383</v>
      </c>
      <c r="R98" s="16"/>
      <c r="S98" s="16"/>
      <c r="T98" s="16"/>
      <c r="U98" s="16">
        <f t="shared" si="2"/>
        <v>5.8255558763204984E-2</v>
      </c>
    </row>
    <row r="99" spans="16:21">
      <c r="P99">
        <f t="shared" si="3"/>
        <v>95</v>
      </c>
      <c r="Q99" s="18">
        <v>45384</v>
      </c>
      <c r="R99" s="16"/>
      <c r="S99" s="16"/>
      <c r="T99" s="16"/>
      <c r="U99" s="16">
        <f t="shared" si="2"/>
        <v>5.8299503399640074E-2</v>
      </c>
    </row>
    <row r="100" spans="16:21">
      <c r="P100">
        <f t="shared" si="3"/>
        <v>96</v>
      </c>
      <c r="Q100" s="18">
        <v>45385</v>
      </c>
      <c r="R100" s="16"/>
      <c r="S100" s="16"/>
      <c r="T100" s="16"/>
      <c r="U100" s="16">
        <f t="shared" si="2"/>
        <v>5.8343448036075385E-2</v>
      </c>
    </row>
    <row r="101" spans="16:21">
      <c r="P101">
        <f t="shared" si="3"/>
        <v>97</v>
      </c>
      <c r="Q101" s="18">
        <v>45386</v>
      </c>
      <c r="R101" s="16"/>
      <c r="S101" s="16"/>
      <c r="T101" s="16"/>
      <c r="U101" s="16">
        <f t="shared" si="2"/>
        <v>5.8387392672510252E-2</v>
      </c>
    </row>
    <row r="102" spans="16:21">
      <c r="P102">
        <f t="shared" si="3"/>
        <v>98</v>
      </c>
      <c r="Q102" s="18">
        <v>45387</v>
      </c>
      <c r="R102" s="16"/>
      <c r="S102" s="16"/>
      <c r="T102" s="16"/>
      <c r="U102" s="16">
        <f t="shared" si="2"/>
        <v>5.8431337308945563E-2</v>
      </c>
    </row>
    <row r="103" spans="16:21">
      <c r="P103">
        <f t="shared" si="3"/>
        <v>99</v>
      </c>
      <c r="Q103" s="18">
        <v>45388</v>
      </c>
      <c r="R103" s="16"/>
      <c r="S103" s="16"/>
      <c r="T103" s="16"/>
      <c r="U103" s="16">
        <f t="shared" si="2"/>
        <v>5.8475281945380653E-2</v>
      </c>
    </row>
    <row r="104" spans="16:21">
      <c r="P104">
        <f t="shared" si="3"/>
        <v>100</v>
      </c>
      <c r="Q104" s="18">
        <v>45389</v>
      </c>
      <c r="R104" s="16"/>
      <c r="S104" s="16"/>
      <c r="T104" s="16"/>
      <c r="U104" s="16">
        <f t="shared" si="2"/>
        <v>5.8519226581815742E-2</v>
      </c>
    </row>
    <row r="105" spans="16:21">
      <c r="P105">
        <f t="shared" si="3"/>
        <v>101</v>
      </c>
      <c r="Q105" s="18">
        <v>45390</v>
      </c>
      <c r="R105" s="16"/>
      <c r="S105" s="16"/>
      <c r="T105" s="16"/>
      <c r="U105" s="16">
        <f t="shared" si="2"/>
        <v>5.8563171218251053E-2</v>
      </c>
    </row>
    <row r="106" spans="16:21">
      <c r="P106">
        <f t="shared" si="3"/>
        <v>102</v>
      </c>
      <c r="Q106" s="18">
        <v>45391</v>
      </c>
      <c r="R106" s="16"/>
      <c r="S106" s="16"/>
      <c r="T106" s="16"/>
      <c r="U106" s="16">
        <f t="shared" si="2"/>
        <v>5.8607115854686143E-2</v>
      </c>
    </row>
    <row r="107" spans="16:21">
      <c r="P107">
        <f t="shared" si="3"/>
        <v>103</v>
      </c>
      <c r="Q107" s="18">
        <v>45392</v>
      </c>
      <c r="R107" s="16"/>
      <c r="S107" s="16"/>
      <c r="T107" s="16"/>
      <c r="U107" s="16">
        <f t="shared" si="2"/>
        <v>5.8651060491121232E-2</v>
      </c>
    </row>
    <row r="108" spans="16:21">
      <c r="P108">
        <f t="shared" si="3"/>
        <v>104</v>
      </c>
      <c r="Q108" s="18">
        <v>45393</v>
      </c>
      <c r="R108" s="16"/>
      <c r="S108" s="16"/>
      <c r="T108" s="16"/>
      <c r="U108" s="16">
        <f t="shared" si="2"/>
        <v>5.8695005127556321E-2</v>
      </c>
    </row>
    <row r="109" spans="16:21">
      <c r="P109">
        <f t="shared" si="3"/>
        <v>105</v>
      </c>
      <c r="Q109" s="18">
        <v>45394</v>
      </c>
      <c r="R109" s="16"/>
      <c r="S109" s="16"/>
      <c r="T109" s="16"/>
      <c r="U109" s="16">
        <f t="shared" si="2"/>
        <v>5.8738949763991632E-2</v>
      </c>
    </row>
    <row r="110" spans="16:21">
      <c r="P110">
        <f t="shared" si="3"/>
        <v>106</v>
      </c>
      <c r="Q110" s="18">
        <v>45395</v>
      </c>
      <c r="R110" s="16"/>
      <c r="S110" s="16"/>
      <c r="T110" s="16"/>
      <c r="U110" s="16">
        <f t="shared" si="2"/>
        <v>5.8782894400426722E-2</v>
      </c>
    </row>
    <row r="111" spans="16:21">
      <c r="P111">
        <f t="shared" si="3"/>
        <v>107</v>
      </c>
      <c r="Q111" s="18">
        <v>45396</v>
      </c>
      <c r="R111" s="16"/>
      <c r="S111" s="16"/>
      <c r="T111" s="16"/>
      <c r="U111" s="16">
        <f t="shared" si="2"/>
        <v>5.8826839036861811E-2</v>
      </c>
    </row>
    <row r="112" spans="16:21">
      <c r="P112">
        <f t="shared" si="3"/>
        <v>108</v>
      </c>
      <c r="Q112" s="18">
        <v>45397</v>
      </c>
      <c r="R112" s="16"/>
      <c r="S112" s="16"/>
      <c r="T112" s="16"/>
      <c r="U112" s="16">
        <f t="shared" si="2"/>
        <v>5.8870783673297122E-2</v>
      </c>
    </row>
    <row r="113" spans="16:21">
      <c r="P113">
        <f t="shared" si="3"/>
        <v>109</v>
      </c>
      <c r="Q113" s="18">
        <v>45398</v>
      </c>
      <c r="R113" s="16"/>
      <c r="S113" s="16"/>
      <c r="T113" s="16"/>
      <c r="U113" s="16">
        <f t="shared" si="2"/>
        <v>5.8914728309732212E-2</v>
      </c>
    </row>
    <row r="114" spans="16:21">
      <c r="P114">
        <f t="shared" si="3"/>
        <v>110</v>
      </c>
      <c r="Q114" s="18">
        <v>45399</v>
      </c>
      <c r="R114" s="16"/>
      <c r="S114" s="16"/>
      <c r="T114" s="16"/>
      <c r="U114" s="16">
        <f t="shared" si="2"/>
        <v>5.8958672946167301E-2</v>
      </c>
    </row>
    <row r="115" spans="16:21">
      <c r="P115">
        <f t="shared" si="3"/>
        <v>111</v>
      </c>
      <c r="Q115" s="18">
        <v>45400</v>
      </c>
      <c r="R115" s="16"/>
      <c r="S115" s="16"/>
      <c r="T115" s="16"/>
      <c r="U115" s="16">
        <f t="shared" si="2"/>
        <v>5.900261758260239E-2</v>
      </c>
    </row>
    <row r="116" spans="16:21">
      <c r="P116">
        <f t="shared" si="3"/>
        <v>112</v>
      </c>
      <c r="Q116" s="18">
        <v>45401</v>
      </c>
      <c r="R116" s="16"/>
      <c r="S116" s="16"/>
      <c r="T116" s="16"/>
      <c r="U116" s="16">
        <f t="shared" si="2"/>
        <v>5.9046562219037702E-2</v>
      </c>
    </row>
    <row r="117" spans="16:21">
      <c r="P117">
        <f t="shared" si="3"/>
        <v>113</v>
      </c>
      <c r="Q117" s="18">
        <v>45402</v>
      </c>
      <c r="R117" s="16"/>
      <c r="S117" s="16"/>
      <c r="T117" s="16"/>
      <c r="U117" s="16">
        <f t="shared" si="2"/>
        <v>5.9090506855472791E-2</v>
      </c>
    </row>
    <row r="118" spans="16:21">
      <c r="P118">
        <f t="shared" si="3"/>
        <v>114</v>
      </c>
      <c r="Q118" s="18">
        <v>45403</v>
      </c>
      <c r="R118" s="16"/>
      <c r="S118" s="16"/>
      <c r="T118" s="16"/>
      <c r="U118" s="16">
        <f t="shared" si="2"/>
        <v>5.913445149190788E-2</v>
      </c>
    </row>
    <row r="119" spans="16:21">
      <c r="P119">
        <f t="shared" si="3"/>
        <v>115</v>
      </c>
      <c r="Q119" s="18">
        <v>45404</v>
      </c>
      <c r="R119" s="16"/>
      <c r="S119" s="16"/>
      <c r="T119" s="16"/>
      <c r="U119" s="16">
        <f t="shared" si="2"/>
        <v>5.9178396128343191E-2</v>
      </c>
    </row>
    <row r="120" spans="16:21">
      <c r="P120">
        <f t="shared" si="3"/>
        <v>116</v>
      </c>
      <c r="Q120" s="18">
        <v>45405</v>
      </c>
      <c r="R120" s="16"/>
      <c r="S120" s="16"/>
      <c r="T120" s="16"/>
      <c r="U120" s="16">
        <f t="shared" si="2"/>
        <v>5.9222340764778281E-2</v>
      </c>
    </row>
    <row r="121" spans="16:21">
      <c r="P121">
        <f t="shared" si="3"/>
        <v>117</v>
      </c>
      <c r="Q121" s="18">
        <v>45406</v>
      </c>
      <c r="R121" s="16"/>
      <c r="S121" s="16"/>
      <c r="T121" s="16"/>
      <c r="U121" s="16">
        <f t="shared" si="2"/>
        <v>5.926628540121337E-2</v>
      </c>
    </row>
    <row r="122" spans="16:21">
      <c r="P122">
        <f t="shared" si="3"/>
        <v>118</v>
      </c>
      <c r="Q122" s="18">
        <v>45407</v>
      </c>
      <c r="R122" s="16"/>
      <c r="S122" s="16"/>
      <c r="T122" s="16"/>
      <c r="U122" s="16">
        <f t="shared" si="2"/>
        <v>5.9310230037648459E-2</v>
      </c>
    </row>
    <row r="123" spans="16:21">
      <c r="P123">
        <f t="shared" si="3"/>
        <v>119</v>
      </c>
      <c r="Q123" s="18">
        <v>45408</v>
      </c>
      <c r="R123" s="16"/>
      <c r="S123" s="16"/>
      <c r="T123" s="16"/>
      <c r="U123" s="16">
        <f t="shared" si="2"/>
        <v>5.9354174674083771E-2</v>
      </c>
    </row>
    <row r="124" spans="16:21">
      <c r="P124">
        <f t="shared" si="3"/>
        <v>120</v>
      </c>
      <c r="Q124" s="18">
        <v>45409</v>
      </c>
      <c r="R124" s="16"/>
      <c r="S124" s="16"/>
      <c r="T124" s="16"/>
      <c r="U124" s="16">
        <f t="shared" si="2"/>
        <v>5.939811931051886E-2</v>
      </c>
    </row>
    <row r="125" spans="16:21">
      <c r="P125">
        <f t="shared" si="3"/>
        <v>121</v>
      </c>
      <c r="Q125" s="18">
        <v>45410</v>
      </c>
      <c r="R125" s="16"/>
      <c r="S125" s="16"/>
      <c r="T125" s="16"/>
      <c r="U125" s="16">
        <f t="shared" si="2"/>
        <v>5.9442063946953949E-2</v>
      </c>
    </row>
    <row r="126" spans="16:21">
      <c r="P126">
        <f t="shared" si="3"/>
        <v>122</v>
      </c>
      <c r="Q126" s="18">
        <v>45411</v>
      </c>
      <c r="R126" s="16"/>
      <c r="S126" s="16"/>
      <c r="T126" s="16"/>
      <c r="U126" s="16">
        <f t="shared" si="2"/>
        <v>5.948600858338926E-2</v>
      </c>
    </row>
    <row r="127" spans="16:21">
      <c r="P127">
        <f t="shared" si="3"/>
        <v>123</v>
      </c>
      <c r="Q127" s="18">
        <v>45412</v>
      </c>
      <c r="R127" s="16"/>
      <c r="S127" s="16"/>
      <c r="T127" s="16"/>
      <c r="U127" s="16">
        <f t="shared" si="2"/>
        <v>5.952995321982435E-2</v>
      </c>
    </row>
    <row r="128" spans="16:21">
      <c r="P128">
        <f t="shared" si="3"/>
        <v>124</v>
      </c>
      <c r="Q128" s="18">
        <v>45413</v>
      </c>
      <c r="R128" s="16"/>
      <c r="S128" s="16"/>
      <c r="T128" s="16"/>
      <c r="U128" s="16">
        <f t="shared" si="2"/>
        <v>5.9573897856259439E-2</v>
      </c>
    </row>
    <row r="129" spans="16:21">
      <c r="P129">
        <f t="shared" si="3"/>
        <v>125</v>
      </c>
      <c r="Q129" s="18">
        <v>45414</v>
      </c>
      <c r="R129" s="16"/>
      <c r="S129" s="16"/>
      <c r="T129" s="16"/>
      <c r="U129" s="16">
        <f t="shared" si="2"/>
        <v>5.9617842492694528E-2</v>
      </c>
    </row>
    <row r="130" spans="16:21">
      <c r="P130">
        <f t="shared" si="3"/>
        <v>126</v>
      </c>
      <c r="Q130" s="18">
        <v>45415</v>
      </c>
      <c r="R130" s="16"/>
      <c r="S130" s="16"/>
      <c r="T130" s="16"/>
      <c r="U130" s="16">
        <f t="shared" si="2"/>
        <v>5.966178712912984E-2</v>
      </c>
    </row>
    <row r="131" spans="16:21">
      <c r="P131">
        <f t="shared" si="3"/>
        <v>127</v>
      </c>
      <c r="Q131" s="18">
        <v>45416</v>
      </c>
      <c r="R131" s="16"/>
      <c r="S131" s="16"/>
      <c r="T131" s="16"/>
      <c r="U131" s="16">
        <f t="shared" si="2"/>
        <v>5.9705731765564929E-2</v>
      </c>
    </row>
    <row r="132" spans="16:21">
      <c r="P132">
        <f t="shared" si="3"/>
        <v>128</v>
      </c>
      <c r="Q132" s="18">
        <v>45417</v>
      </c>
      <c r="R132" s="16"/>
      <c r="S132" s="16"/>
      <c r="T132" s="16"/>
      <c r="U132" s="16">
        <f t="shared" si="2"/>
        <v>5.9749676402000018E-2</v>
      </c>
    </row>
    <row r="133" spans="16:21">
      <c r="P133">
        <f t="shared" si="3"/>
        <v>129</v>
      </c>
      <c r="Q133" s="18">
        <v>45418</v>
      </c>
      <c r="R133" s="16"/>
      <c r="S133" s="16"/>
      <c r="T133" s="16"/>
      <c r="U133" s="16">
        <f t="shared" ref="U133:U196" si="4">IF(ISNA(VLOOKUP(Q133,B:L,11,0)),_xlfn.FORECAST.LINEAR(Q133,$L$3:$L$13,$B$3:$B$13),VLOOKUP(Q133,B:L,11,0))</f>
        <v>5.9793621038435107E-2</v>
      </c>
    </row>
    <row r="134" spans="16:21">
      <c r="P134">
        <f t="shared" ref="P134:P197" si="5">P133+1</f>
        <v>130</v>
      </c>
      <c r="Q134" s="18">
        <v>45419</v>
      </c>
      <c r="R134" s="16"/>
      <c r="S134" s="16"/>
      <c r="T134" s="16"/>
      <c r="U134" s="16">
        <f t="shared" si="4"/>
        <v>5.9837565674870419E-2</v>
      </c>
    </row>
    <row r="135" spans="16:21">
      <c r="P135">
        <f t="shared" si="5"/>
        <v>131</v>
      </c>
      <c r="Q135" s="18">
        <v>45420</v>
      </c>
      <c r="R135" s="16"/>
      <c r="S135" s="16"/>
      <c r="T135" s="16"/>
      <c r="U135" s="16">
        <f t="shared" si="4"/>
        <v>5.9881510311305508E-2</v>
      </c>
    </row>
    <row r="136" spans="16:21">
      <c r="P136">
        <f t="shared" si="5"/>
        <v>132</v>
      </c>
      <c r="Q136" s="18">
        <v>45421</v>
      </c>
      <c r="R136" s="16"/>
      <c r="S136" s="16"/>
      <c r="T136" s="16"/>
      <c r="U136" s="16">
        <f t="shared" si="4"/>
        <v>5.9925454947740597E-2</v>
      </c>
    </row>
    <row r="137" spans="16:21">
      <c r="P137">
        <f t="shared" si="5"/>
        <v>133</v>
      </c>
      <c r="Q137" s="18">
        <v>45422</v>
      </c>
      <c r="R137" s="16"/>
      <c r="S137" s="16"/>
      <c r="T137" s="16"/>
      <c r="U137" s="16">
        <f t="shared" si="4"/>
        <v>5.9969399584175909E-2</v>
      </c>
    </row>
    <row r="138" spans="16:21">
      <c r="P138">
        <f t="shared" si="5"/>
        <v>134</v>
      </c>
      <c r="Q138" s="18">
        <v>45423</v>
      </c>
      <c r="R138" s="16"/>
      <c r="S138" s="16"/>
      <c r="T138" s="16"/>
      <c r="U138" s="16">
        <f t="shared" si="4"/>
        <v>6.0013344220610998E-2</v>
      </c>
    </row>
    <row r="139" spans="16:21">
      <c r="P139">
        <f t="shared" si="5"/>
        <v>135</v>
      </c>
      <c r="Q139" s="18">
        <v>45424</v>
      </c>
      <c r="R139" s="16"/>
      <c r="S139" s="16"/>
      <c r="T139" s="16"/>
      <c r="U139" s="16">
        <f t="shared" si="4"/>
        <v>6.0057288857046087E-2</v>
      </c>
    </row>
    <row r="140" spans="16:21">
      <c r="P140">
        <f t="shared" si="5"/>
        <v>136</v>
      </c>
      <c r="Q140" s="18">
        <v>45425</v>
      </c>
      <c r="R140" s="16"/>
      <c r="S140" s="16"/>
      <c r="T140" s="16"/>
      <c r="U140" s="16">
        <f t="shared" si="4"/>
        <v>6.0101233493481176E-2</v>
      </c>
    </row>
    <row r="141" spans="16:21">
      <c r="P141">
        <f t="shared" si="5"/>
        <v>137</v>
      </c>
      <c r="Q141" s="18">
        <v>45426</v>
      </c>
      <c r="R141" s="16"/>
      <c r="S141" s="16"/>
      <c r="T141" s="16"/>
      <c r="U141" s="16">
        <f t="shared" si="4"/>
        <v>6.0145178129916488E-2</v>
      </c>
    </row>
    <row r="142" spans="16:21">
      <c r="P142">
        <f t="shared" si="5"/>
        <v>138</v>
      </c>
      <c r="Q142" s="18">
        <v>45427</v>
      </c>
      <c r="R142" s="16"/>
      <c r="S142" s="16"/>
      <c r="T142" s="16"/>
      <c r="U142" s="16">
        <f t="shared" si="4"/>
        <v>6.0189122766351577E-2</v>
      </c>
    </row>
    <row r="143" spans="16:21">
      <c r="P143">
        <f t="shared" si="5"/>
        <v>139</v>
      </c>
      <c r="Q143" s="18">
        <v>45428</v>
      </c>
      <c r="R143" s="16"/>
      <c r="S143" s="16"/>
      <c r="T143" s="16"/>
      <c r="U143" s="16">
        <f t="shared" si="4"/>
        <v>6.0233067402786666E-2</v>
      </c>
    </row>
    <row r="144" spans="16:21">
      <c r="P144">
        <f t="shared" si="5"/>
        <v>140</v>
      </c>
      <c r="Q144" s="18">
        <v>45429</v>
      </c>
      <c r="R144" s="16"/>
      <c r="S144" s="16"/>
      <c r="T144" s="16"/>
      <c r="U144" s="16">
        <f t="shared" si="4"/>
        <v>6.0277012039221978E-2</v>
      </c>
    </row>
    <row r="145" spans="16:21">
      <c r="P145">
        <f t="shared" si="5"/>
        <v>141</v>
      </c>
      <c r="Q145" s="18">
        <v>45430</v>
      </c>
      <c r="R145" s="16"/>
      <c r="S145" s="16"/>
      <c r="T145" s="16"/>
      <c r="U145" s="16">
        <f t="shared" si="4"/>
        <v>6.0320956675657067E-2</v>
      </c>
    </row>
    <row r="146" spans="16:21">
      <c r="P146">
        <f t="shared" si="5"/>
        <v>142</v>
      </c>
      <c r="Q146" s="18">
        <v>45431</v>
      </c>
      <c r="R146" s="16"/>
      <c r="S146" s="16"/>
      <c r="T146" s="16"/>
      <c r="U146" s="16">
        <f t="shared" si="4"/>
        <v>6.0364901312092156E-2</v>
      </c>
    </row>
    <row r="147" spans="16:21">
      <c r="P147">
        <f t="shared" si="5"/>
        <v>143</v>
      </c>
      <c r="Q147" s="18">
        <v>45432</v>
      </c>
      <c r="R147" s="16"/>
      <c r="S147" s="16"/>
      <c r="T147" s="16"/>
      <c r="U147" s="16">
        <f t="shared" si="4"/>
        <v>6.0408845948527246E-2</v>
      </c>
    </row>
    <row r="148" spans="16:21">
      <c r="P148">
        <f t="shared" si="5"/>
        <v>144</v>
      </c>
      <c r="Q148" s="18">
        <v>45433</v>
      </c>
      <c r="R148" s="16"/>
      <c r="S148" s="16"/>
      <c r="T148" s="16"/>
      <c r="U148" s="16">
        <f t="shared" si="4"/>
        <v>6.0452790584962557E-2</v>
      </c>
    </row>
    <row r="149" spans="16:21">
      <c r="P149">
        <f t="shared" si="5"/>
        <v>145</v>
      </c>
      <c r="Q149" s="18">
        <v>45434</v>
      </c>
      <c r="R149" s="16"/>
      <c r="S149" s="16"/>
      <c r="T149" s="16"/>
      <c r="U149" s="16">
        <f t="shared" si="4"/>
        <v>6.0496735221397646E-2</v>
      </c>
    </row>
    <row r="150" spans="16:21">
      <c r="P150">
        <f t="shared" si="5"/>
        <v>146</v>
      </c>
      <c r="Q150" s="18">
        <v>45435</v>
      </c>
      <c r="R150" s="16"/>
      <c r="S150" s="16"/>
      <c r="T150" s="16"/>
      <c r="U150" s="16">
        <f t="shared" si="4"/>
        <v>6.0540679857832735E-2</v>
      </c>
    </row>
    <row r="151" spans="16:21">
      <c r="P151">
        <f t="shared" si="5"/>
        <v>147</v>
      </c>
      <c r="Q151" s="18">
        <v>45436</v>
      </c>
      <c r="R151" s="16"/>
      <c r="S151" s="16"/>
      <c r="T151" s="16"/>
      <c r="U151" s="16">
        <f t="shared" si="4"/>
        <v>6.0584624494268047E-2</v>
      </c>
    </row>
    <row r="152" spans="16:21">
      <c r="P152">
        <f t="shared" si="5"/>
        <v>148</v>
      </c>
      <c r="Q152" s="18">
        <v>45437</v>
      </c>
      <c r="R152" s="16"/>
      <c r="S152" s="16"/>
      <c r="T152" s="16"/>
      <c r="U152" s="16">
        <f t="shared" si="4"/>
        <v>6.0628569130703136E-2</v>
      </c>
    </row>
    <row r="153" spans="16:21">
      <c r="P153">
        <f t="shared" si="5"/>
        <v>149</v>
      </c>
      <c r="Q153" s="18">
        <v>45438</v>
      </c>
      <c r="R153" s="16"/>
      <c r="S153" s="16"/>
      <c r="T153" s="16"/>
      <c r="U153" s="16">
        <f t="shared" si="4"/>
        <v>6.0672513767138225E-2</v>
      </c>
    </row>
    <row r="154" spans="16:21">
      <c r="P154">
        <f t="shared" si="5"/>
        <v>150</v>
      </c>
      <c r="Q154" s="18">
        <v>45439</v>
      </c>
      <c r="R154" s="16"/>
      <c r="S154" s="16"/>
      <c r="T154" s="16"/>
      <c r="U154" s="16">
        <f t="shared" si="4"/>
        <v>6.0716458403573315E-2</v>
      </c>
    </row>
    <row r="155" spans="16:21">
      <c r="P155">
        <f t="shared" si="5"/>
        <v>151</v>
      </c>
      <c r="Q155" s="18">
        <v>45440</v>
      </c>
      <c r="R155" s="16"/>
      <c r="S155" s="16"/>
      <c r="T155" s="16"/>
      <c r="U155" s="16">
        <f t="shared" si="4"/>
        <v>6.0760403040008626E-2</v>
      </c>
    </row>
    <row r="156" spans="16:21">
      <c r="P156">
        <f t="shared" si="5"/>
        <v>152</v>
      </c>
      <c r="Q156" s="18">
        <v>45441</v>
      </c>
      <c r="R156" s="16"/>
      <c r="S156" s="16"/>
      <c r="T156" s="16"/>
      <c r="U156" s="16">
        <f t="shared" si="4"/>
        <v>6.0804347676443715E-2</v>
      </c>
    </row>
    <row r="157" spans="16:21">
      <c r="P157">
        <f t="shared" si="5"/>
        <v>153</v>
      </c>
      <c r="Q157" s="18">
        <v>45442</v>
      </c>
      <c r="R157" s="16"/>
      <c r="S157" s="16"/>
      <c r="T157" s="16"/>
      <c r="U157" s="16">
        <f t="shared" si="4"/>
        <v>6.0848292312878804E-2</v>
      </c>
    </row>
    <row r="158" spans="16:21">
      <c r="P158">
        <f t="shared" si="5"/>
        <v>154</v>
      </c>
      <c r="Q158" s="18">
        <v>45443</v>
      </c>
      <c r="R158" s="16"/>
      <c r="S158" s="16"/>
      <c r="T158" s="16"/>
      <c r="U158" s="16">
        <f t="shared" si="4"/>
        <v>6.0892236949313894E-2</v>
      </c>
    </row>
    <row r="159" spans="16:21">
      <c r="P159">
        <f t="shared" si="5"/>
        <v>155</v>
      </c>
      <c r="Q159" s="18">
        <v>45444</v>
      </c>
      <c r="R159" s="16"/>
      <c r="S159" s="16"/>
      <c r="T159" s="16"/>
      <c r="U159" s="16">
        <f t="shared" si="4"/>
        <v>6.0936181585749205E-2</v>
      </c>
    </row>
    <row r="160" spans="16:21">
      <c r="P160">
        <f t="shared" si="5"/>
        <v>156</v>
      </c>
      <c r="Q160" s="18">
        <v>45445</v>
      </c>
      <c r="R160" s="16"/>
      <c r="S160" s="16"/>
      <c r="T160" s="16"/>
      <c r="U160" s="16">
        <f t="shared" si="4"/>
        <v>6.0980126222184294E-2</v>
      </c>
    </row>
    <row r="161" spans="16:21">
      <c r="P161">
        <f t="shared" si="5"/>
        <v>157</v>
      </c>
      <c r="Q161" s="18">
        <v>45446</v>
      </c>
      <c r="R161" s="16"/>
      <c r="S161" s="16"/>
      <c r="T161" s="16"/>
      <c r="U161" s="16">
        <f t="shared" si="4"/>
        <v>6.1024070858619384E-2</v>
      </c>
    </row>
    <row r="162" spans="16:21">
      <c r="P162">
        <f t="shared" si="5"/>
        <v>158</v>
      </c>
      <c r="Q162" s="18">
        <v>45447</v>
      </c>
      <c r="R162" s="16"/>
      <c r="S162" s="16"/>
      <c r="T162" s="16"/>
      <c r="U162" s="16">
        <f t="shared" si="4"/>
        <v>6.1068015495054695E-2</v>
      </c>
    </row>
    <row r="163" spans="16:21">
      <c r="P163">
        <f t="shared" si="5"/>
        <v>159</v>
      </c>
      <c r="Q163" s="18">
        <v>45448</v>
      </c>
      <c r="R163" s="16"/>
      <c r="S163" s="16"/>
      <c r="T163" s="16"/>
      <c r="U163" s="16">
        <f t="shared" si="4"/>
        <v>6.1111960131489784E-2</v>
      </c>
    </row>
    <row r="164" spans="16:21">
      <c r="P164">
        <f t="shared" si="5"/>
        <v>160</v>
      </c>
      <c r="Q164" s="18">
        <v>45449</v>
      </c>
      <c r="R164" s="16"/>
      <c r="S164" s="16"/>
      <c r="T164" s="16"/>
      <c r="U164" s="16">
        <f t="shared" si="4"/>
        <v>6.1155904767924874E-2</v>
      </c>
    </row>
    <row r="165" spans="16:21">
      <c r="P165">
        <f t="shared" si="5"/>
        <v>161</v>
      </c>
      <c r="Q165" s="18">
        <v>45450</v>
      </c>
      <c r="R165" s="16"/>
      <c r="S165" s="16"/>
      <c r="T165" s="16"/>
      <c r="U165" s="16">
        <f t="shared" si="4"/>
        <v>6.1199849404359963E-2</v>
      </c>
    </row>
    <row r="166" spans="16:21">
      <c r="P166">
        <f t="shared" si="5"/>
        <v>162</v>
      </c>
      <c r="Q166" s="18">
        <v>45451</v>
      </c>
      <c r="R166" s="16"/>
      <c r="S166" s="16"/>
      <c r="T166" s="16"/>
      <c r="U166" s="16">
        <f t="shared" si="4"/>
        <v>6.1243794040795274E-2</v>
      </c>
    </row>
    <row r="167" spans="16:21">
      <c r="P167">
        <f t="shared" si="5"/>
        <v>163</v>
      </c>
      <c r="Q167" s="18">
        <v>45452</v>
      </c>
      <c r="R167" s="16"/>
      <c r="S167" s="16"/>
      <c r="T167" s="16"/>
      <c r="U167" s="16">
        <f t="shared" si="4"/>
        <v>6.1287738677230363E-2</v>
      </c>
    </row>
    <row r="168" spans="16:21">
      <c r="P168">
        <f t="shared" si="5"/>
        <v>164</v>
      </c>
      <c r="Q168" s="18">
        <v>45453</v>
      </c>
      <c r="R168" s="16"/>
      <c r="S168" s="16"/>
      <c r="T168" s="16"/>
      <c r="U168" s="16">
        <f t="shared" si="4"/>
        <v>6.1331683313665453E-2</v>
      </c>
    </row>
    <row r="169" spans="16:21">
      <c r="P169">
        <f t="shared" si="5"/>
        <v>165</v>
      </c>
      <c r="Q169" s="18">
        <v>45454</v>
      </c>
      <c r="R169" s="16"/>
      <c r="S169" s="16"/>
      <c r="T169" s="16"/>
      <c r="U169" s="16">
        <f t="shared" si="4"/>
        <v>6.1375627950100764E-2</v>
      </c>
    </row>
    <row r="170" spans="16:21">
      <c r="P170">
        <f t="shared" si="5"/>
        <v>166</v>
      </c>
      <c r="Q170" s="18">
        <v>45455</v>
      </c>
      <c r="R170" s="16"/>
      <c r="S170" s="16"/>
      <c r="T170" s="16"/>
      <c r="U170" s="16">
        <f t="shared" si="4"/>
        <v>6.1419572586535853E-2</v>
      </c>
    </row>
    <row r="171" spans="16:21">
      <c r="P171">
        <f t="shared" si="5"/>
        <v>167</v>
      </c>
      <c r="Q171" s="18">
        <v>45456</v>
      </c>
      <c r="R171" s="16"/>
      <c r="S171" s="16"/>
      <c r="T171" s="16"/>
      <c r="U171" s="16">
        <f t="shared" si="4"/>
        <v>6.1463517222970943E-2</v>
      </c>
    </row>
    <row r="172" spans="16:21">
      <c r="P172">
        <f t="shared" si="5"/>
        <v>168</v>
      </c>
      <c r="Q172" s="18">
        <v>45457</v>
      </c>
      <c r="R172" s="16"/>
      <c r="S172" s="16"/>
      <c r="T172" s="16"/>
      <c r="U172" s="16">
        <f t="shared" si="4"/>
        <v>6.1507461859406032E-2</v>
      </c>
    </row>
    <row r="173" spans="16:21">
      <c r="P173">
        <f t="shared" si="5"/>
        <v>169</v>
      </c>
      <c r="Q173" s="18">
        <v>45458</v>
      </c>
      <c r="R173" s="16"/>
      <c r="S173" s="16"/>
      <c r="T173" s="16"/>
      <c r="U173" s="16">
        <f t="shared" si="4"/>
        <v>6.1551406495841343E-2</v>
      </c>
    </row>
    <row r="174" spans="16:21">
      <c r="P174">
        <f t="shared" si="5"/>
        <v>170</v>
      </c>
      <c r="Q174" s="18">
        <v>45459</v>
      </c>
      <c r="R174" s="16"/>
      <c r="S174" s="16"/>
      <c r="T174" s="16"/>
      <c r="U174" s="16">
        <f t="shared" si="4"/>
        <v>6.1595351132276432E-2</v>
      </c>
    </row>
    <row r="175" spans="16:21">
      <c r="P175">
        <f t="shared" si="5"/>
        <v>171</v>
      </c>
      <c r="Q175" s="18">
        <v>45460</v>
      </c>
      <c r="R175" s="16"/>
      <c r="S175" s="16"/>
      <c r="T175" s="16"/>
      <c r="U175" s="16">
        <f t="shared" si="4"/>
        <v>6.1639295768711522E-2</v>
      </c>
    </row>
    <row r="176" spans="16:21">
      <c r="P176">
        <f t="shared" si="5"/>
        <v>172</v>
      </c>
      <c r="Q176" s="18">
        <v>45461</v>
      </c>
      <c r="R176" s="16"/>
      <c r="S176" s="16"/>
      <c r="T176" s="16"/>
      <c r="U176" s="16">
        <f t="shared" si="4"/>
        <v>6.1683240405146833E-2</v>
      </c>
    </row>
    <row r="177" spans="16:21">
      <c r="P177">
        <f t="shared" si="5"/>
        <v>173</v>
      </c>
      <c r="Q177" s="18">
        <v>45462</v>
      </c>
      <c r="R177" s="16"/>
      <c r="S177" s="16"/>
      <c r="T177" s="16"/>
      <c r="U177" s="16">
        <f t="shared" si="4"/>
        <v>6.1727185041581922E-2</v>
      </c>
    </row>
    <row r="178" spans="16:21">
      <c r="P178">
        <f t="shared" si="5"/>
        <v>174</v>
      </c>
      <c r="Q178" s="18">
        <v>45463</v>
      </c>
      <c r="R178" s="16"/>
      <c r="S178" s="16"/>
      <c r="T178" s="16"/>
      <c r="U178" s="16">
        <f t="shared" si="4"/>
        <v>6.1771129678017012E-2</v>
      </c>
    </row>
    <row r="179" spans="16:21">
      <c r="P179">
        <f t="shared" si="5"/>
        <v>175</v>
      </c>
      <c r="Q179" s="18">
        <v>45464</v>
      </c>
      <c r="R179" s="16"/>
      <c r="S179" s="16"/>
      <c r="T179" s="16"/>
      <c r="U179" s="16">
        <f t="shared" si="4"/>
        <v>6.1815074314452101E-2</v>
      </c>
    </row>
    <row r="180" spans="16:21">
      <c r="P180">
        <f t="shared" si="5"/>
        <v>176</v>
      </c>
      <c r="Q180" s="18">
        <v>45465</v>
      </c>
      <c r="R180" s="16"/>
      <c r="S180" s="16"/>
      <c r="T180" s="16"/>
      <c r="U180" s="16">
        <f t="shared" si="4"/>
        <v>6.1859018950887412E-2</v>
      </c>
    </row>
    <row r="181" spans="16:21">
      <c r="P181">
        <f t="shared" si="5"/>
        <v>177</v>
      </c>
      <c r="Q181" s="18">
        <v>45466</v>
      </c>
      <c r="R181" s="16"/>
      <c r="S181" s="16"/>
      <c r="T181" s="16"/>
      <c r="U181" s="16">
        <f t="shared" si="4"/>
        <v>6.1902963587322501E-2</v>
      </c>
    </row>
    <row r="182" spans="16:21">
      <c r="P182">
        <f t="shared" si="5"/>
        <v>178</v>
      </c>
      <c r="Q182" s="18">
        <v>45467</v>
      </c>
      <c r="R182" s="16"/>
      <c r="S182" s="16"/>
      <c r="T182" s="16"/>
      <c r="U182" s="16">
        <f t="shared" si="4"/>
        <v>6.1946908223757591E-2</v>
      </c>
    </row>
    <row r="183" spans="16:21">
      <c r="P183">
        <f t="shared" si="5"/>
        <v>179</v>
      </c>
      <c r="Q183" s="18">
        <v>45468</v>
      </c>
      <c r="R183" s="16"/>
      <c r="S183" s="16"/>
      <c r="T183" s="16"/>
      <c r="U183" s="16">
        <f t="shared" si="4"/>
        <v>6.1990852860192902E-2</v>
      </c>
    </row>
    <row r="184" spans="16:21">
      <c r="P184">
        <f t="shared" si="5"/>
        <v>180</v>
      </c>
      <c r="Q184" s="18">
        <v>45469</v>
      </c>
      <c r="R184" s="16"/>
      <c r="S184" s="16"/>
      <c r="T184" s="16"/>
      <c r="U184" s="16">
        <f t="shared" si="4"/>
        <v>6.2034797496627991E-2</v>
      </c>
    </row>
    <row r="185" spans="16:21">
      <c r="P185">
        <f t="shared" si="5"/>
        <v>181</v>
      </c>
      <c r="Q185" s="18">
        <v>45470</v>
      </c>
      <c r="R185" s="16"/>
      <c r="S185" s="16"/>
      <c r="T185" s="16"/>
      <c r="U185" s="16">
        <f t="shared" si="4"/>
        <v>6.2078742133063081E-2</v>
      </c>
    </row>
    <row r="186" spans="16:21">
      <c r="P186">
        <f t="shared" si="5"/>
        <v>182</v>
      </c>
      <c r="Q186" s="18">
        <v>45471</v>
      </c>
      <c r="R186" s="16"/>
      <c r="S186" s="16"/>
      <c r="T186" s="16"/>
      <c r="U186" s="16">
        <f t="shared" si="4"/>
        <v>6.212268676949817E-2</v>
      </c>
    </row>
    <row r="187" spans="16:21">
      <c r="P187">
        <f t="shared" si="5"/>
        <v>183</v>
      </c>
      <c r="Q187" s="18">
        <v>45472</v>
      </c>
      <c r="R187" s="16"/>
      <c r="S187" s="16"/>
      <c r="T187" s="16"/>
      <c r="U187" s="16">
        <f t="shared" si="4"/>
        <v>6.2166631405933481E-2</v>
      </c>
    </row>
    <row r="188" spans="16:21">
      <c r="P188">
        <f t="shared" si="5"/>
        <v>184</v>
      </c>
      <c r="Q188" s="18">
        <v>45473</v>
      </c>
      <c r="R188" s="16"/>
      <c r="S188" s="16"/>
      <c r="T188" s="16"/>
      <c r="U188" s="16">
        <f t="shared" si="4"/>
        <v>6.2210576042368571E-2</v>
      </c>
    </row>
    <row r="189" spans="16:21">
      <c r="P189">
        <f t="shared" si="5"/>
        <v>185</v>
      </c>
      <c r="Q189" s="18">
        <v>45474</v>
      </c>
      <c r="R189" s="16"/>
      <c r="S189" s="16"/>
      <c r="T189" s="16"/>
      <c r="U189" s="16">
        <f t="shared" si="4"/>
        <v>6.225452067880366E-2</v>
      </c>
    </row>
    <row r="190" spans="16:21">
      <c r="P190">
        <f t="shared" si="5"/>
        <v>186</v>
      </c>
      <c r="Q190" s="18">
        <v>45475</v>
      </c>
      <c r="R190" s="16"/>
      <c r="S190" s="16"/>
      <c r="T190" s="16"/>
      <c r="U190" s="16">
        <f t="shared" si="4"/>
        <v>6.2298465315238749E-2</v>
      </c>
    </row>
    <row r="191" spans="16:21">
      <c r="P191">
        <f t="shared" si="5"/>
        <v>187</v>
      </c>
      <c r="Q191" s="18">
        <v>45476</v>
      </c>
      <c r="R191" s="16"/>
      <c r="S191" s="16"/>
      <c r="T191" s="16"/>
      <c r="U191" s="16">
        <f t="shared" si="4"/>
        <v>6.234240995167406E-2</v>
      </c>
    </row>
    <row r="192" spans="16:21">
      <c r="P192">
        <f t="shared" si="5"/>
        <v>188</v>
      </c>
      <c r="Q192" s="18">
        <v>45477</v>
      </c>
      <c r="R192" s="16"/>
      <c r="S192" s="16"/>
      <c r="T192" s="16"/>
      <c r="U192" s="16">
        <f t="shared" si="4"/>
        <v>6.238635458810915E-2</v>
      </c>
    </row>
    <row r="193" spans="16:21">
      <c r="P193">
        <f t="shared" si="5"/>
        <v>189</v>
      </c>
      <c r="Q193" s="18">
        <v>45478</v>
      </c>
      <c r="R193" s="16"/>
      <c r="S193" s="16"/>
      <c r="T193" s="16"/>
      <c r="U193" s="16">
        <f t="shared" si="4"/>
        <v>6.2430299224544239E-2</v>
      </c>
    </row>
    <row r="194" spans="16:21">
      <c r="P194">
        <f t="shared" si="5"/>
        <v>190</v>
      </c>
      <c r="Q194" s="18">
        <v>45479</v>
      </c>
      <c r="R194" s="16"/>
      <c r="S194" s="16"/>
      <c r="T194" s="16"/>
      <c r="U194" s="16">
        <f t="shared" si="4"/>
        <v>6.247424386097955E-2</v>
      </c>
    </row>
    <row r="195" spans="16:21">
      <c r="P195">
        <f t="shared" si="5"/>
        <v>191</v>
      </c>
      <c r="Q195" s="18">
        <v>45480</v>
      </c>
      <c r="R195" s="16"/>
      <c r="S195" s="16"/>
      <c r="T195" s="16"/>
      <c r="U195" s="16">
        <f t="shared" si="4"/>
        <v>6.251818849741464E-2</v>
      </c>
    </row>
    <row r="196" spans="16:21">
      <c r="P196">
        <f t="shared" si="5"/>
        <v>192</v>
      </c>
      <c r="Q196" s="18">
        <v>45481</v>
      </c>
      <c r="R196" s="16"/>
      <c r="S196" s="16"/>
      <c r="T196" s="16"/>
      <c r="U196" s="16">
        <f t="shared" si="4"/>
        <v>6.2562133133849729E-2</v>
      </c>
    </row>
    <row r="197" spans="16:21">
      <c r="P197">
        <f t="shared" si="5"/>
        <v>193</v>
      </c>
      <c r="Q197" s="18">
        <v>45482</v>
      </c>
      <c r="R197" s="16"/>
      <c r="S197" s="16"/>
      <c r="T197" s="16"/>
      <c r="U197" s="16">
        <f t="shared" ref="U197:U260" si="6">IF(ISNA(VLOOKUP(Q197,B:L,11,0)),_xlfn.FORECAST.LINEAR(Q197,$L$3:$L$13,$B$3:$B$13),VLOOKUP(Q197,B:L,11,0))</f>
        <v>6.2606077770284818E-2</v>
      </c>
    </row>
    <row r="198" spans="16:21">
      <c r="P198">
        <f t="shared" ref="P198:P261" si="7">P197+1</f>
        <v>194</v>
      </c>
      <c r="Q198" s="18">
        <v>45483</v>
      </c>
      <c r="R198" s="16"/>
      <c r="S198" s="16"/>
      <c r="T198" s="16"/>
      <c r="U198" s="16">
        <f t="shared" si="6"/>
        <v>6.2650022406720129E-2</v>
      </c>
    </row>
    <row r="199" spans="16:21">
      <c r="P199">
        <f t="shared" si="7"/>
        <v>195</v>
      </c>
      <c r="Q199" s="18">
        <v>45484</v>
      </c>
      <c r="R199" s="16"/>
      <c r="S199" s="16"/>
      <c r="T199" s="16"/>
      <c r="U199" s="16">
        <f t="shared" si="6"/>
        <v>6.2693967043155219E-2</v>
      </c>
    </row>
    <row r="200" spans="16:21">
      <c r="P200">
        <f t="shared" si="7"/>
        <v>196</v>
      </c>
      <c r="Q200" s="18">
        <v>45485</v>
      </c>
      <c r="R200" s="16"/>
      <c r="S200" s="16"/>
      <c r="T200" s="16"/>
      <c r="U200" s="16">
        <f t="shared" si="6"/>
        <v>6.2737911679590308E-2</v>
      </c>
    </row>
    <row r="201" spans="16:21">
      <c r="P201">
        <f t="shared" si="7"/>
        <v>197</v>
      </c>
      <c r="Q201" s="18">
        <v>45486</v>
      </c>
      <c r="R201" s="16"/>
      <c r="S201" s="16"/>
      <c r="T201" s="16"/>
      <c r="U201" s="16">
        <f t="shared" si="6"/>
        <v>6.2781856316025619E-2</v>
      </c>
    </row>
    <row r="202" spans="16:21">
      <c r="P202">
        <f t="shared" si="7"/>
        <v>198</v>
      </c>
      <c r="Q202" s="18">
        <v>45487</v>
      </c>
      <c r="R202" s="16"/>
      <c r="S202" s="16"/>
      <c r="T202" s="16"/>
      <c r="U202" s="16">
        <f t="shared" si="6"/>
        <v>6.2825800952460709E-2</v>
      </c>
    </row>
    <row r="203" spans="16:21">
      <c r="P203">
        <f t="shared" si="7"/>
        <v>199</v>
      </c>
      <c r="Q203" s="18">
        <v>45488</v>
      </c>
      <c r="R203" s="16"/>
      <c r="S203" s="16"/>
      <c r="T203" s="16"/>
      <c r="U203" s="16">
        <f t="shared" si="6"/>
        <v>6.2869745588895798E-2</v>
      </c>
    </row>
    <row r="204" spans="16:21">
      <c r="P204">
        <f t="shared" si="7"/>
        <v>200</v>
      </c>
      <c r="Q204" s="18">
        <v>45489</v>
      </c>
      <c r="R204" s="16"/>
      <c r="S204" s="16"/>
      <c r="T204" s="16"/>
      <c r="U204" s="16">
        <f t="shared" si="6"/>
        <v>6.2913690225330887E-2</v>
      </c>
    </row>
    <row r="205" spans="16:21">
      <c r="P205">
        <f t="shared" si="7"/>
        <v>201</v>
      </c>
      <c r="Q205" s="18">
        <v>45490</v>
      </c>
      <c r="R205" s="16"/>
      <c r="S205" s="16"/>
      <c r="T205" s="16"/>
      <c r="U205" s="16">
        <f t="shared" si="6"/>
        <v>6.2957634861766198E-2</v>
      </c>
    </row>
    <row r="206" spans="16:21">
      <c r="P206">
        <f t="shared" si="7"/>
        <v>202</v>
      </c>
      <c r="Q206" s="18">
        <v>45491</v>
      </c>
      <c r="R206" s="16"/>
      <c r="S206" s="16"/>
      <c r="T206" s="16"/>
      <c r="U206" s="16">
        <f t="shared" si="6"/>
        <v>6.3001579498201288E-2</v>
      </c>
    </row>
    <row r="207" spans="16:21">
      <c r="P207">
        <f t="shared" si="7"/>
        <v>203</v>
      </c>
      <c r="Q207" s="18">
        <v>45492</v>
      </c>
      <c r="R207" s="16"/>
      <c r="S207" s="16"/>
      <c r="T207" s="16"/>
      <c r="U207" s="16">
        <f t="shared" si="6"/>
        <v>6.3045524134636377E-2</v>
      </c>
    </row>
    <row r="208" spans="16:21">
      <c r="P208">
        <f t="shared" si="7"/>
        <v>204</v>
      </c>
      <c r="Q208" s="18">
        <v>45493</v>
      </c>
      <c r="R208" s="16"/>
      <c r="S208" s="16"/>
      <c r="T208" s="16"/>
      <c r="U208" s="16">
        <f t="shared" si="6"/>
        <v>6.3089468771071688E-2</v>
      </c>
    </row>
    <row r="209" spans="16:21">
      <c r="P209">
        <f t="shared" si="7"/>
        <v>205</v>
      </c>
      <c r="Q209" s="18">
        <v>45494</v>
      </c>
      <c r="R209" s="16"/>
      <c r="S209" s="16"/>
      <c r="T209" s="16"/>
      <c r="U209" s="16">
        <f t="shared" si="6"/>
        <v>6.3133413407506778E-2</v>
      </c>
    </row>
    <row r="210" spans="16:21">
      <c r="P210">
        <f t="shared" si="7"/>
        <v>206</v>
      </c>
      <c r="Q210" s="18">
        <v>45495</v>
      </c>
      <c r="R210" s="16"/>
      <c r="S210" s="16"/>
      <c r="T210" s="16"/>
      <c r="U210" s="16">
        <f t="shared" si="6"/>
        <v>6.3177358043941867E-2</v>
      </c>
    </row>
    <row r="211" spans="16:21">
      <c r="P211">
        <f t="shared" si="7"/>
        <v>207</v>
      </c>
      <c r="Q211" s="18">
        <v>45496</v>
      </c>
      <c r="R211" s="16"/>
      <c r="S211" s="16"/>
      <c r="T211" s="16"/>
      <c r="U211" s="16">
        <f t="shared" si="6"/>
        <v>6.3221302680376956E-2</v>
      </c>
    </row>
    <row r="212" spans="16:21">
      <c r="P212">
        <f t="shared" si="7"/>
        <v>208</v>
      </c>
      <c r="Q212" s="18">
        <v>45497</v>
      </c>
      <c r="R212" s="16"/>
      <c r="S212" s="16"/>
      <c r="T212" s="16"/>
      <c r="U212" s="16">
        <f t="shared" si="6"/>
        <v>6.3265247316812268E-2</v>
      </c>
    </row>
    <row r="213" spans="16:21">
      <c r="P213">
        <f t="shared" si="7"/>
        <v>209</v>
      </c>
      <c r="Q213" s="18">
        <v>45498</v>
      </c>
      <c r="R213" s="16"/>
      <c r="S213" s="16"/>
      <c r="T213" s="16"/>
      <c r="U213" s="16">
        <f t="shared" si="6"/>
        <v>6.3309191953247357E-2</v>
      </c>
    </row>
    <row r="214" spans="16:21">
      <c r="P214">
        <f t="shared" si="7"/>
        <v>210</v>
      </c>
      <c r="Q214" s="18">
        <v>45499</v>
      </c>
      <c r="R214" s="16"/>
      <c r="S214" s="16"/>
      <c r="T214" s="16"/>
      <c r="U214" s="16">
        <f t="shared" si="6"/>
        <v>6.3353136589682446E-2</v>
      </c>
    </row>
    <row r="215" spans="16:21">
      <c r="P215">
        <f t="shared" si="7"/>
        <v>211</v>
      </c>
      <c r="Q215" s="18">
        <v>45500</v>
      </c>
      <c r="R215" s="16"/>
      <c r="S215" s="16"/>
      <c r="T215" s="16"/>
      <c r="U215" s="16">
        <f t="shared" si="6"/>
        <v>6.3397081226117535E-2</v>
      </c>
    </row>
    <row r="216" spans="16:21">
      <c r="P216">
        <f t="shared" si="7"/>
        <v>212</v>
      </c>
      <c r="Q216" s="18">
        <v>45501</v>
      </c>
      <c r="R216" s="16"/>
      <c r="S216" s="16"/>
      <c r="T216" s="16"/>
      <c r="U216" s="16">
        <f t="shared" si="6"/>
        <v>6.3441025862552847E-2</v>
      </c>
    </row>
    <row r="217" spans="16:21">
      <c r="P217">
        <f t="shared" si="7"/>
        <v>213</v>
      </c>
      <c r="Q217" s="18">
        <v>45502</v>
      </c>
      <c r="R217" s="16"/>
      <c r="S217" s="16"/>
      <c r="T217" s="16"/>
      <c r="U217" s="16">
        <f t="shared" si="6"/>
        <v>6.3484970498987936E-2</v>
      </c>
    </row>
    <row r="218" spans="16:21">
      <c r="P218">
        <f t="shared" si="7"/>
        <v>214</v>
      </c>
      <c r="Q218" s="18">
        <v>45503</v>
      </c>
      <c r="R218" s="16"/>
      <c r="S218" s="16"/>
      <c r="T218" s="16"/>
      <c r="U218" s="16">
        <f t="shared" si="6"/>
        <v>6.3528915135423025E-2</v>
      </c>
    </row>
    <row r="219" spans="16:21">
      <c r="P219">
        <f t="shared" si="7"/>
        <v>215</v>
      </c>
      <c r="Q219" s="18">
        <v>45504</v>
      </c>
      <c r="R219" s="16"/>
      <c r="S219" s="16"/>
      <c r="T219" s="16"/>
      <c r="U219" s="16">
        <f t="shared" si="6"/>
        <v>6.3572859771858337E-2</v>
      </c>
    </row>
    <row r="220" spans="16:21">
      <c r="P220">
        <f t="shared" si="7"/>
        <v>216</v>
      </c>
      <c r="Q220" s="18">
        <v>45505</v>
      </c>
      <c r="R220" s="16"/>
      <c r="S220" s="16"/>
      <c r="T220" s="16"/>
      <c r="U220" s="16">
        <f t="shared" si="6"/>
        <v>6.3616804408293426E-2</v>
      </c>
    </row>
    <row r="221" spans="16:21">
      <c r="P221">
        <f t="shared" si="7"/>
        <v>217</v>
      </c>
      <c r="Q221" s="18">
        <v>45506</v>
      </c>
      <c r="R221" s="16"/>
      <c r="S221" s="16"/>
      <c r="T221" s="16"/>
      <c r="U221" s="16">
        <f t="shared" si="6"/>
        <v>6.3660749044728515E-2</v>
      </c>
    </row>
    <row r="222" spans="16:21">
      <c r="P222">
        <f t="shared" si="7"/>
        <v>218</v>
      </c>
      <c r="Q222" s="18">
        <v>45507</v>
      </c>
      <c r="R222" s="16"/>
      <c r="S222" s="16"/>
      <c r="T222" s="16"/>
      <c r="U222" s="16">
        <f t="shared" si="6"/>
        <v>6.3704693681163604E-2</v>
      </c>
    </row>
    <row r="223" spans="16:21">
      <c r="P223">
        <f t="shared" si="7"/>
        <v>219</v>
      </c>
      <c r="Q223" s="18">
        <v>45508</v>
      </c>
      <c r="R223" s="16"/>
      <c r="S223" s="16"/>
      <c r="T223" s="16"/>
      <c r="U223" s="16">
        <f t="shared" si="6"/>
        <v>6.3748638317598916E-2</v>
      </c>
    </row>
    <row r="224" spans="16:21">
      <c r="P224">
        <f t="shared" si="7"/>
        <v>220</v>
      </c>
      <c r="Q224" s="18">
        <v>45509</v>
      </c>
      <c r="R224" s="16"/>
      <c r="S224" s="16"/>
      <c r="T224" s="16"/>
      <c r="U224" s="16">
        <f t="shared" si="6"/>
        <v>6.3792582954034005E-2</v>
      </c>
    </row>
    <row r="225" spans="16:21">
      <c r="P225">
        <f t="shared" si="7"/>
        <v>221</v>
      </c>
      <c r="Q225" s="18">
        <v>45510</v>
      </c>
      <c r="R225" s="16"/>
      <c r="S225" s="16"/>
      <c r="T225" s="16"/>
      <c r="U225" s="16">
        <f t="shared" si="6"/>
        <v>6.3836527590469094E-2</v>
      </c>
    </row>
    <row r="226" spans="16:21">
      <c r="P226">
        <f t="shared" si="7"/>
        <v>222</v>
      </c>
      <c r="Q226" s="18">
        <v>45511</v>
      </c>
      <c r="R226" s="16"/>
      <c r="S226" s="16"/>
      <c r="T226" s="16"/>
      <c r="U226" s="16">
        <f t="shared" si="6"/>
        <v>6.3880472226904406E-2</v>
      </c>
    </row>
    <row r="227" spans="16:21">
      <c r="P227">
        <f t="shared" si="7"/>
        <v>223</v>
      </c>
      <c r="Q227" s="18">
        <v>45512</v>
      </c>
      <c r="R227" s="16"/>
      <c r="S227" s="16"/>
      <c r="T227" s="16"/>
      <c r="U227" s="16">
        <f t="shared" si="6"/>
        <v>6.3924416863339495E-2</v>
      </c>
    </row>
    <row r="228" spans="16:21">
      <c r="P228">
        <f t="shared" si="7"/>
        <v>224</v>
      </c>
      <c r="Q228" s="18">
        <v>45513</v>
      </c>
      <c r="R228" s="16"/>
      <c r="S228" s="16"/>
      <c r="T228" s="16"/>
      <c r="U228" s="16">
        <f t="shared" si="6"/>
        <v>6.3968361499774584E-2</v>
      </c>
    </row>
    <row r="229" spans="16:21">
      <c r="P229">
        <f t="shared" si="7"/>
        <v>225</v>
      </c>
      <c r="Q229" s="18">
        <v>45514</v>
      </c>
      <c r="R229" s="16"/>
      <c r="S229" s="16"/>
      <c r="T229" s="16"/>
      <c r="U229" s="16">
        <f t="shared" si="6"/>
        <v>6.4012306136209673E-2</v>
      </c>
    </row>
    <row r="230" spans="16:21">
      <c r="P230">
        <f t="shared" si="7"/>
        <v>226</v>
      </c>
      <c r="Q230" s="18">
        <v>45515</v>
      </c>
      <c r="R230" s="16"/>
      <c r="S230" s="16"/>
      <c r="T230" s="16"/>
      <c r="U230" s="16">
        <f t="shared" si="6"/>
        <v>6.4056250772644763E-2</v>
      </c>
    </row>
    <row r="231" spans="16:21">
      <c r="P231">
        <f t="shared" si="7"/>
        <v>227</v>
      </c>
      <c r="Q231" s="18">
        <v>45516</v>
      </c>
      <c r="R231" s="16"/>
      <c r="S231" s="16"/>
      <c r="T231" s="16"/>
      <c r="U231" s="16">
        <f t="shared" si="6"/>
        <v>6.4100195409079852E-2</v>
      </c>
    </row>
    <row r="232" spans="16:21">
      <c r="P232">
        <f t="shared" si="7"/>
        <v>228</v>
      </c>
      <c r="Q232" s="18">
        <v>45517</v>
      </c>
      <c r="R232" s="16"/>
      <c r="S232" s="16"/>
      <c r="T232" s="16"/>
      <c r="U232" s="16">
        <f t="shared" si="6"/>
        <v>6.4144140045515385E-2</v>
      </c>
    </row>
    <row r="233" spans="16:21">
      <c r="P233">
        <f t="shared" si="7"/>
        <v>229</v>
      </c>
      <c r="Q233" s="18">
        <v>45518</v>
      </c>
      <c r="R233" s="16"/>
      <c r="S233" s="16"/>
      <c r="T233" s="16"/>
      <c r="U233" s="16">
        <f t="shared" si="6"/>
        <v>6.4188084681950475E-2</v>
      </c>
    </row>
    <row r="234" spans="16:21">
      <c r="P234">
        <f t="shared" si="7"/>
        <v>230</v>
      </c>
      <c r="Q234" s="18">
        <v>45519</v>
      </c>
      <c r="R234" s="16"/>
      <c r="S234" s="16"/>
      <c r="T234" s="16"/>
      <c r="U234" s="16">
        <f t="shared" si="6"/>
        <v>6.4232029318385564E-2</v>
      </c>
    </row>
    <row r="235" spans="16:21">
      <c r="P235">
        <f t="shared" si="7"/>
        <v>231</v>
      </c>
      <c r="Q235" s="18">
        <v>45520</v>
      </c>
      <c r="R235" s="16"/>
      <c r="S235" s="16"/>
      <c r="T235" s="16"/>
      <c r="U235" s="16">
        <f t="shared" si="6"/>
        <v>6.4275973954820653E-2</v>
      </c>
    </row>
    <row r="236" spans="16:21">
      <c r="P236">
        <f t="shared" si="7"/>
        <v>232</v>
      </c>
      <c r="Q236" s="18">
        <v>45521</v>
      </c>
      <c r="R236" s="16"/>
      <c r="S236" s="16"/>
      <c r="T236" s="16"/>
      <c r="U236" s="16">
        <f t="shared" si="6"/>
        <v>6.4319918591255743E-2</v>
      </c>
    </row>
    <row r="237" spans="16:21">
      <c r="P237">
        <f t="shared" si="7"/>
        <v>233</v>
      </c>
      <c r="Q237" s="18">
        <v>45522</v>
      </c>
      <c r="R237" s="16"/>
      <c r="S237" s="16"/>
      <c r="T237" s="16"/>
      <c r="U237" s="16">
        <f t="shared" si="6"/>
        <v>6.4363863227690832E-2</v>
      </c>
    </row>
    <row r="238" spans="16:21">
      <c r="P238">
        <f t="shared" si="7"/>
        <v>234</v>
      </c>
      <c r="Q238" s="18">
        <v>45523</v>
      </c>
      <c r="R238" s="16"/>
      <c r="S238" s="16"/>
      <c r="T238" s="16"/>
      <c r="U238" s="16">
        <f t="shared" si="6"/>
        <v>6.4407807864125921E-2</v>
      </c>
    </row>
    <row r="239" spans="16:21">
      <c r="P239">
        <f t="shared" si="7"/>
        <v>235</v>
      </c>
      <c r="Q239" s="18">
        <v>45524</v>
      </c>
      <c r="R239" s="16"/>
      <c r="S239" s="16"/>
      <c r="T239" s="16"/>
      <c r="U239" s="16">
        <f t="shared" si="6"/>
        <v>6.4451752500561454E-2</v>
      </c>
    </row>
    <row r="240" spans="16:21">
      <c r="P240">
        <f t="shared" si="7"/>
        <v>236</v>
      </c>
      <c r="Q240" s="18">
        <v>45525</v>
      </c>
      <c r="R240" s="16"/>
      <c r="S240" s="16"/>
      <c r="T240" s="16"/>
      <c r="U240" s="16">
        <f t="shared" si="6"/>
        <v>6.4495697136996544E-2</v>
      </c>
    </row>
    <row r="241" spans="16:21">
      <c r="P241">
        <f t="shared" si="7"/>
        <v>237</v>
      </c>
      <c r="Q241" s="18">
        <v>45526</v>
      </c>
      <c r="R241" s="16"/>
      <c r="S241" s="16"/>
      <c r="T241" s="16"/>
      <c r="U241" s="16">
        <f t="shared" si="6"/>
        <v>6.4539641773431633E-2</v>
      </c>
    </row>
    <row r="242" spans="16:21">
      <c r="P242">
        <f t="shared" si="7"/>
        <v>238</v>
      </c>
      <c r="Q242" s="18">
        <v>45527</v>
      </c>
      <c r="R242" s="16"/>
      <c r="S242" s="16"/>
      <c r="T242" s="16"/>
      <c r="U242" s="16">
        <f t="shared" si="6"/>
        <v>6.4583586409866722E-2</v>
      </c>
    </row>
    <row r="243" spans="16:21">
      <c r="P243">
        <f t="shared" si="7"/>
        <v>239</v>
      </c>
      <c r="Q243" s="18">
        <v>45528</v>
      </c>
      <c r="R243" s="16"/>
      <c r="S243" s="16"/>
      <c r="T243" s="16"/>
      <c r="U243" s="16">
        <f t="shared" si="6"/>
        <v>6.4627531046301812E-2</v>
      </c>
    </row>
    <row r="244" spans="16:21">
      <c r="P244">
        <f t="shared" si="7"/>
        <v>240</v>
      </c>
      <c r="Q244" s="18">
        <v>45529</v>
      </c>
      <c r="R244" s="16"/>
      <c r="S244" s="16"/>
      <c r="T244" s="16"/>
      <c r="U244" s="16">
        <f t="shared" si="6"/>
        <v>6.4671475682736901E-2</v>
      </c>
    </row>
    <row r="245" spans="16:21">
      <c r="P245">
        <f t="shared" si="7"/>
        <v>241</v>
      </c>
      <c r="Q245" s="18">
        <v>45530</v>
      </c>
      <c r="R245" s="16"/>
      <c r="S245" s="16"/>
      <c r="T245" s="16"/>
      <c r="U245" s="16">
        <f t="shared" si="6"/>
        <v>6.471542031917199E-2</v>
      </c>
    </row>
    <row r="246" spans="16:21">
      <c r="P246">
        <f t="shared" si="7"/>
        <v>242</v>
      </c>
      <c r="Q246" s="18">
        <v>45531</v>
      </c>
      <c r="R246" s="16"/>
      <c r="S246" s="16"/>
      <c r="T246" s="16"/>
      <c r="U246" s="16">
        <f t="shared" si="6"/>
        <v>6.4759364955607523E-2</v>
      </c>
    </row>
    <row r="247" spans="16:21">
      <c r="P247">
        <f t="shared" si="7"/>
        <v>243</v>
      </c>
      <c r="Q247" s="18">
        <v>45532</v>
      </c>
      <c r="R247" s="16"/>
      <c r="S247" s="16"/>
      <c r="T247" s="16"/>
      <c r="U247" s="16">
        <f t="shared" si="6"/>
        <v>6.4803309592042613E-2</v>
      </c>
    </row>
    <row r="248" spans="16:21">
      <c r="P248">
        <f t="shared" si="7"/>
        <v>244</v>
      </c>
      <c r="Q248" s="18">
        <v>45533</v>
      </c>
      <c r="R248" s="16"/>
      <c r="S248" s="16"/>
      <c r="T248" s="16"/>
      <c r="U248" s="16">
        <f t="shared" si="6"/>
        <v>6.4847254228477702E-2</v>
      </c>
    </row>
    <row r="249" spans="16:21">
      <c r="P249">
        <f t="shared" si="7"/>
        <v>245</v>
      </c>
      <c r="Q249" s="18">
        <v>45534</v>
      </c>
      <c r="R249" s="16"/>
      <c r="S249" s="16"/>
      <c r="T249" s="16"/>
      <c r="U249" s="16">
        <f t="shared" si="6"/>
        <v>6.4891198864912791E-2</v>
      </c>
    </row>
    <row r="250" spans="16:21">
      <c r="P250">
        <f t="shared" si="7"/>
        <v>246</v>
      </c>
      <c r="Q250" s="18">
        <v>45535</v>
      </c>
      <c r="R250" s="16"/>
      <c r="S250" s="16"/>
      <c r="T250" s="16"/>
      <c r="U250" s="16">
        <f t="shared" si="6"/>
        <v>6.4935143501347881E-2</v>
      </c>
    </row>
    <row r="251" spans="16:21">
      <c r="P251">
        <f t="shared" si="7"/>
        <v>247</v>
      </c>
      <c r="Q251" s="18">
        <v>45536</v>
      </c>
      <c r="R251" s="16"/>
      <c r="S251" s="16"/>
      <c r="T251" s="16"/>
      <c r="U251" s="16">
        <f t="shared" si="6"/>
        <v>6.497908813778297E-2</v>
      </c>
    </row>
    <row r="252" spans="16:21">
      <c r="P252">
        <f t="shared" si="7"/>
        <v>248</v>
      </c>
      <c r="Q252" s="18">
        <v>45537</v>
      </c>
      <c r="R252" s="16"/>
      <c r="S252" s="16"/>
      <c r="T252" s="16"/>
      <c r="U252" s="16">
        <f t="shared" si="6"/>
        <v>6.5023032774218059E-2</v>
      </c>
    </row>
    <row r="253" spans="16:21">
      <c r="P253">
        <f t="shared" si="7"/>
        <v>249</v>
      </c>
      <c r="Q253" s="18">
        <v>45538</v>
      </c>
      <c r="R253" s="16"/>
      <c r="S253" s="16"/>
      <c r="T253" s="16"/>
      <c r="U253" s="16">
        <f t="shared" si="6"/>
        <v>6.5066977410653593E-2</v>
      </c>
    </row>
    <row r="254" spans="16:21">
      <c r="P254">
        <f t="shared" si="7"/>
        <v>250</v>
      </c>
      <c r="Q254" s="18">
        <v>45539</v>
      </c>
      <c r="R254" s="16"/>
      <c r="S254" s="16"/>
      <c r="T254" s="16"/>
      <c r="U254" s="16">
        <f t="shared" si="6"/>
        <v>6.5110922047088682E-2</v>
      </c>
    </row>
    <row r="255" spans="16:21">
      <c r="P255">
        <f t="shared" si="7"/>
        <v>251</v>
      </c>
      <c r="Q255" s="18">
        <v>45540</v>
      </c>
      <c r="R255" s="16"/>
      <c r="S255" s="16"/>
      <c r="T255" s="16"/>
      <c r="U255" s="16">
        <f t="shared" si="6"/>
        <v>6.5154866683523771E-2</v>
      </c>
    </row>
    <row r="256" spans="16:21">
      <c r="P256">
        <f t="shared" si="7"/>
        <v>252</v>
      </c>
      <c r="Q256" s="18">
        <v>45541</v>
      </c>
      <c r="R256" s="16"/>
      <c r="S256" s="16"/>
      <c r="T256" s="16"/>
      <c r="U256" s="16">
        <f t="shared" si="6"/>
        <v>6.519881131995886E-2</v>
      </c>
    </row>
    <row r="257" spans="16:21">
      <c r="P257">
        <f t="shared" si="7"/>
        <v>253</v>
      </c>
      <c r="Q257" s="18">
        <v>45542</v>
      </c>
      <c r="R257" s="16"/>
      <c r="S257" s="16"/>
      <c r="T257" s="16"/>
      <c r="U257" s="16">
        <f t="shared" si="6"/>
        <v>6.524275595639395E-2</v>
      </c>
    </row>
    <row r="258" spans="16:21">
      <c r="P258">
        <f t="shared" si="7"/>
        <v>254</v>
      </c>
      <c r="Q258" s="18">
        <v>45543</v>
      </c>
      <c r="R258" s="16"/>
      <c r="S258" s="16"/>
      <c r="T258" s="16"/>
      <c r="U258" s="16">
        <f t="shared" si="6"/>
        <v>6.5286700592829039E-2</v>
      </c>
    </row>
    <row r="259" spans="16:21">
      <c r="P259">
        <f t="shared" si="7"/>
        <v>255</v>
      </c>
      <c r="Q259" s="18">
        <v>45544</v>
      </c>
      <c r="R259" s="16"/>
      <c r="S259" s="16"/>
      <c r="T259" s="16"/>
      <c r="U259" s="16">
        <f t="shared" si="6"/>
        <v>6.5330645229264128E-2</v>
      </c>
    </row>
    <row r="260" spans="16:21">
      <c r="P260">
        <f t="shared" si="7"/>
        <v>256</v>
      </c>
      <c r="Q260" s="18">
        <v>45545</v>
      </c>
      <c r="R260" s="16"/>
      <c r="S260" s="16"/>
      <c r="T260" s="16"/>
      <c r="U260" s="16">
        <f t="shared" si="6"/>
        <v>6.5374589865699662E-2</v>
      </c>
    </row>
    <row r="261" spans="16:21">
      <c r="P261">
        <f t="shared" si="7"/>
        <v>257</v>
      </c>
      <c r="Q261" s="18">
        <v>45546</v>
      </c>
      <c r="R261" s="16"/>
      <c r="S261" s="16"/>
      <c r="T261" s="16"/>
      <c r="U261" s="16">
        <f t="shared" ref="U261:U305" si="8">IF(ISNA(VLOOKUP(Q261,B:L,11,0)),_xlfn.FORECAST.LINEAR(Q261,$L$3:$L$13,$B$3:$B$13),VLOOKUP(Q261,B:L,11,0))</f>
        <v>6.5418534502134751E-2</v>
      </c>
    </row>
    <row r="262" spans="16:21">
      <c r="P262">
        <f t="shared" ref="P262:P325" si="9">P261+1</f>
        <v>258</v>
      </c>
      <c r="Q262" s="18">
        <v>45547</v>
      </c>
      <c r="R262" s="16"/>
      <c r="S262" s="16"/>
      <c r="T262" s="16"/>
      <c r="U262" s="16">
        <f t="shared" si="8"/>
        <v>6.546247913856984E-2</v>
      </c>
    </row>
    <row r="263" spans="16:21">
      <c r="P263">
        <f t="shared" si="9"/>
        <v>259</v>
      </c>
      <c r="Q263" s="18">
        <v>45548</v>
      </c>
      <c r="R263" s="16"/>
      <c r="S263" s="16"/>
      <c r="T263" s="16"/>
      <c r="U263" s="16">
        <f t="shared" si="8"/>
        <v>6.5506423775004929E-2</v>
      </c>
    </row>
    <row r="264" spans="16:21">
      <c r="P264">
        <f t="shared" si="9"/>
        <v>260</v>
      </c>
      <c r="Q264" s="18">
        <v>45549</v>
      </c>
      <c r="R264" s="16"/>
      <c r="S264" s="16"/>
      <c r="T264" s="16"/>
      <c r="U264" s="16">
        <f t="shared" si="8"/>
        <v>6.5550368411440019E-2</v>
      </c>
    </row>
    <row r="265" spans="16:21">
      <c r="P265">
        <f t="shared" si="9"/>
        <v>261</v>
      </c>
      <c r="Q265" s="18">
        <v>45550</v>
      </c>
      <c r="R265" s="16"/>
      <c r="S265" s="16"/>
      <c r="T265" s="16"/>
      <c r="U265" s="16">
        <f t="shared" si="8"/>
        <v>6.5594313047875108E-2</v>
      </c>
    </row>
    <row r="266" spans="16:21">
      <c r="P266">
        <f t="shared" si="9"/>
        <v>262</v>
      </c>
      <c r="Q266" s="18">
        <v>45551</v>
      </c>
      <c r="R266" s="16"/>
      <c r="S266" s="16"/>
      <c r="T266" s="16"/>
      <c r="U266" s="16">
        <f t="shared" si="8"/>
        <v>6.5638257684310197E-2</v>
      </c>
    </row>
    <row r="267" spans="16:21">
      <c r="P267">
        <f t="shared" si="9"/>
        <v>263</v>
      </c>
      <c r="Q267" s="18">
        <v>45552</v>
      </c>
      <c r="R267" s="16"/>
      <c r="S267" s="16"/>
      <c r="T267" s="16"/>
      <c r="U267" s="16">
        <f t="shared" si="8"/>
        <v>6.5682202320745731E-2</v>
      </c>
    </row>
    <row r="268" spans="16:21">
      <c r="P268">
        <f t="shared" si="9"/>
        <v>264</v>
      </c>
      <c r="Q268" s="18">
        <v>45553</v>
      </c>
      <c r="R268" s="16"/>
      <c r="S268" s="16"/>
      <c r="T268" s="16"/>
      <c r="U268" s="16">
        <f t="shared" si="8"/>
        <v>6.572614695718082E-2</v>
      </c>
    </row>
    <row r="269" spans="16:21">
      <c r="P269">
        <f t="shared" si="9"/>
        <v>265</v>
      </c>
      <c r="Q269" s="18">
        <v>45554</v>
      </c>
      <c r="R269" s="16"/>
      <c r="S269" s="16"/>
      <c r="T269" s="16"/>
      <c r="U269" s="16">
        <f t="shared" si="8"/>
        <v>6.5770091593615909E-2</v>
      </c>
    </row>
    <row r="270" spans="16:21">
      <c r="P270">
        <f t="shared" si="9"/>
        <v>266</v>
      </c>
      <c r="Q270" s="18">
        <v>45555</v>
      </c>
      <c r="R270" s="16"/>
      <c r="S270" s="16"/>
      <c r="T270" s="16"/>
      <c r="U270" s="16">
        <f t="shared" si="8"/>
        <v>6.5814036230050998E-2</v>
      </c>
    </row>
    <row r="271" spans="16:21">
      <c r="P271">
        <f t="shared" si="9"/>
        <v>267</v>
      </c>
      <c r="Q271" s="18">
        <v>45556</v>
      </c>
      <c r="R271" s="16"/>
      <c r="S271" s="16"/>
      <c r="T271" s="16"/>
      <c r="U271" s="16">
        <f t="shared" si="8"/>
        <v>6.5857980866486088E-2</v>
      </c>
    </row>
    <row r="272" spans="16:21">
      <c r="P272">
        <f t="shared" si="9"/>
        <v>268</v>
      </c>
      <c r="Q272" s="18">
        <v>45557</v>
      </c>
      <c r="R272" s="16"/>
      <c r="S272" s="16"/>
      <c r="T272" s="16"/>
      <c r="U272" s="16">
        <f t="shared" si="8"/>
        <v>6.5901925502921177E-2</v>
      </c>
    </row>
    <row r="273" spans="16:21">
      <c r="P273">
        <f t="shared" si="9"/>
        <v>269</v>
      </c>
      <c r="Q273" s="18">
        <v>45558</v>
      </c>
      <c r="R273" s="16"/>
      <c r="S273" s="16"/>
      <c r="T273" s="16"/>
      <c r="U273" s="16">
        <f t="shared" si="8"/>
        <v>6.5945870139356266E-2</v>
      </c>
    </row>
    <row r="274" spans="16:21">
      <c r="P274">
        <f t="shared" si="9"/>
        <v>270</v>
      </c>
      <c r="Q274" s="18">
        <v>45559</v>
      </c>
      <c r="R274" s="16"/>
      <c r="S274" s="16"/>
      <c r="T274" s="16"/>
      <c r="U274" s="16">
        <f t="shared" si="8"/>
        <v>6.59898147757918E-2</v>
      </c>
    </row>
    <row r="275" spans="16:21">
      <c r="P275">
        <f t="shared" si="9"/>
        <v>271</v>
      </c>
      <c r="Q275" s="18">
        <v>45560</v>
      </c>
      <c r="R275" s="16"/>
      <c r="S275" s="16"/>
      <c r="T275" s="16"/>
      <c r="U275" s="16">
        <f t="shared" si="8"/>
        <v>6.6033759412226889E-2</v>
      </c>
    </row>
    <row r="276" spans="16:21">
      <c r="P276">
        <f t="shared" si="9"/>
        <v>272</v>
      </c>
      <c r="Q276" s="18">
        <v>45561</v>
      </c>
      <c r="R276" s="16"/>
      <c r="S276" s="16"/>
      <c r="T276" s="16"/>
      <c r="U276" s="16">
        <f t="shared" si="8"/>
        <v>6.6077704048661978E-2</v>
      </c>
    </row>
    <row r="277" spans="16:21">
      <c r="P277">
        <f t="shared" si="9"/>
        <v>273</v>
      </c>
      <c r="Q277" s="18">
        <v>45562</v>
      </c>
      <c r="R277" s="16"/>
      <c r="S277" s="16"/>
      <c r="T277" s="16"/>
      <c r="U277" s="16">
        <f t="shared" si="8"/>
        <v>6.6121648685097067E-2</v>
      </c>
    </row>
    <row r="278" spans="16:21">
      <c r="P278">
        <f t="shared" si="9"/>
        <v>274</v>
      </c>
      <c r="Q278" s="18">
        <v>45563</v>
      </c>
      <c r="R278" s="16"/>
      <c r="S278" s="16"/>
      <c r="T278" s="16"/>
      <c r="U278" s="16">
        <f t="shared" si="8"/>
        <v>6.6165593321532157E-2</v>
      </c>
    </row>
    <row r="279" spans="16:21">
      <c r="P279">
        <f t="shared" si="9"/>
        <v>275</v>
      </c>
      <c r="Q279" s="18">
        <v>45564</v>
      </c>
      <c r="R279" s="16"/>
      <c r="S279" s="16"/>
      <c r="T279" s="16"/>
      <c r="U279" s="16">
        <f t="shared" si="8"/>
        <v>6.6209537957967246E-2</v>
      </c>
    </row>
    <row r="280" spans="16:21">
      <c r="P280">
        <f t="shared" si="9"/>
        <v>276</v>
      </c>
      <c r="Q280" s="18">
        <v>45565</v>
      </c>
      <c r="R280" s="16"/>
      <c r="S280" s="16"/>
      <c r="T280" s="16"/>
      <c r="U280" s="16">
        <f t="shared" si="8"/>
        <v>6.6253482594402335E-2</v>
      </c>
    </row>
    <row r="281" spans="16:21">
      <c r="P281">
        <f t="shared" si="9"/>
        <v>277</v>
      </c>
      <c r="Q281" s="18">
        <v>45566</v>
      </c>
      <c r="R281" s="16"/>
      <c r="S281" s="16"/>
      <c r="T281" s="16"/>
      <c r="U281" s="16">
        <f t="shared" si="8"/>
        <v>6.6297427230837869E-2</v>
      </c>
    </row>
    <row r="282" spans="16:21">
      <c r="P282">
        <f t="shared" si="9"/>
        <v>278</v>
      </c>
      <c r="Q282" s="18">
        <v>45567</v>
      </c>
      <c r="R282" s="16"/>
      <c r="S282" s="16"/>
      <c r="T282" s="16"/>
      <c r="U282" s="16">
        <f t="shared" si="8"/>
        <v>6.6341371867272958E-2</v>
      </c>
    </row>
    <row r="283" spans="16:21">
      <c r="P283">
        <f t="shared" si="9"/>
        <v>279</v>
      </c>
      <c r="Q283" s="18">
        <v>45568</v>
      </c>
      <c r="R283" s="16"/>
      <c r="S283" s="16"/>
      <c r="T283" s="16"/>
      <c r="U283" s="16">
        <f t="shared" si="8"/>
        <v>6.6385316503708047E-2</v>
      </c>
    </row>
    <row r="284" spans="16:21">
      <c r="P284">
        <f t="shared" si="9"/>
        <v>280</v>
      </c>
      <c r="Q284" s="18">
        <v>45569</v>
      </c>
      <c r="R284" s="16"/>
      <c r="S284" s="16"/>
      <c r="T284" s="16"/>
      <c r="U284" s="16">
        <f t="shared" si="8"/>
        <v>6.6429261140143137E-2</v>
      </c>
    </row>
    <row r="285" spans="16:21">
      <c r="P285">
        <f t="shared" si="9"/>
        <v>281</v>
      </c>
      <c r="Q285" s="18">
        <v>45570</v>
      </c>
      <c r="R285" s="16"/>
      <c r="S285" s="16"/>
      <c r="T285" s="16"/>
      <c r="U285" s="16">
        <f t="shared" si="8"/>
        <v>6.6473205776578226E-2</v>
      </c>
    </row>
    <row r="286" spans="16:21">
      <c r="P286">
        <f t="shared" si="9"/>
        <v>282</v>
      </c>
      <c r="Q286" s="18">
        <v>45571</v>
      </c>
      <c r="R286" s="16"/>
      <c r="S286" s="16"/>
      <c r="T286" s="16"/>
      <c r="U286" s="16">
        <f t="shared" si="8"/>
        <v>6.6517150413013315E-2</v>
      </c>
    </row>
    <row r="287" spans="16:21">
      <c r="P287">
        <f t="shared" si="9"/>
        <v>283</v>
      </c>
      <c r="Q287" s="18">
        <v>45572</v>
      </c>
      <c r="R287" s="16"/>
      <c r="S287" s="16"/>
      <c r="T287" s="16"/>
      <c r="U287" s="16">
        <f t="shared" si="8"/>
        <v>6.6561095049448404E-2</v>
      </c>
    </row>
    <row r="288" spans="16:21">
      <c r="P288">
        <f t="shared" si="9"/>
        <v>284</v>
      </c>
      <c r="Q288" s="18">
        <v>45573</v>
      </c>
      <c r="R288" s="16"/>
      <c r="S288" s="16"/>
      <c r="T288" s="16"/>
      <c r="U288" s="16">
        <f t="shared" si="8"/>
        <v>6.6605039685883494E-2</v>
      </c>
    </row>
    <row r="289" spans="16:21">
      <c r="P289">
        <f t="shared" si="9"/>
        <v>285</v>
      </c>
      <c r="Q289" s="18">
        <v>45574</v>
      </c>
      <c r="R289" s="16"/>
      <c r="S289" s="16"/>
      <c r="T289" s="16"/>
      <c r="U289" s="16">
        <f t="shared" si="8"/>
        <v>6.6648984322319027E-2</v>
      </c>
    </row>
    <row r="290" spans="16:21">
      <c r="P290">
        <f t="shared" si="9"/>
        <v>286</v>
      </c>
      <c r="Q290" s="18">
        <v>45575</v>
      </c>
      <c r="R290" s="16"/>
      <c r="S290" s="16"/>
      <c r="T290" s="16"/>
      <c r="U290" s="16">
        <f t="shared" si="8"/>
        <v>6.6692928958754116E-2</v>
      </c>
    </row>
    <row r="291" spans="16:21">
      <c r="P291">
        <f t="shared" si="9"/>
        <v>287</v>
      </c>
      <c r="Q291" s="18">
        <v>45576</v>
      </c>
      <c r="R291" s="16"/>
      <c r="S291" s="16"/>
      <c r="T291" s="16"/>
      <c r="U291" s="16">
        <f t="shared" si="8"/>
        <v>6.6736873595189206E-2</v>
      </c>
    </row>
    <row r="292" spans="16:21">
      <c r="P292">
        <f t="shared" si="9"/>
        <v>288</v>
      </c>
      <c r="Q292" s="18">
        <v>45577</v>
      </c>
      <c r="R292" s="16"/>
      <c r="S292" s="16"/>
      <c r="T292" s="16"/>
      <c r="U292" s="16">
        <f t="shared" si="8"/>
        <v>6.6780818231624295E-2</v>
      </c>
    </row>
    <row r="293" spans="16:21">
      <c r="P293">
        <f t="shared" si="9"/>
        <v>289</v>
      </c>
      <c r="Q293" s="18">
        <v>45578</v>
      </c>
      <c r="R293" s="16"/>
      <c r="S293" s="16"/>
      <c r="T293" s="16"/>
      <c r="U293" s="16">
        <f t="shared" si="8"/>
        <v>6.6824762868059384E-2</v>
      </c>
    </row>
    <row r="294" spans="16:21">
      <c r="P294">
        <f t="shared" si="9"/>
        <v>290</v>
      </c>
      <c r="Q294" s="18">
        <v>45579</v>
      </c>
      <c r="R294" s="16"/>
      <c r="S294" s="16"/>
      <c r="T294" s="16"/>
      <c r="U294" s="16">
        <f t="shared" si="8"/>
        <v>6.6868707504494473E-2</v>
      </c>
    </row>
    <row r="295" spans="16:21">
      <c r="P295">
        <f t="shared" si="9"/>
        <v>291</v>
      </c>
      <c r="Q295" s="18">
        <v>45580</v>
      </c>
      <c r="R295" s="16"/>
      <c r="S295" s="16"/>
      <c r="T295" s="16"/>
      <c r="U295" s="16">
        <f t="shared" si="8"/>
        <v>6.6912652140929563E-2</v>
      </c>
    </row>
    <row r="296" spans="16:21">
      <c r="P296">
        <f t="shared" si="9"/>
        <v>292</v>
      </c>
      <c r="Q296" s="18">
        <v>45581</v>
      </c>
      <c r="R296" s="16"/>
      <c r="S296" s="16"/>
      <c r="T296" s="16"/>
      <c r="U296" s="16">
        <f t="shared" si="8"/>
        <v>6.6956596777365096E-2</v>
      </c>
    </row>
    <row r="297" spans="16:21">
      <c r="P297">
        <f t="shared" si="9"/>
        <v>293</v>
      </c>
      <c r="Q297" s="18">
        <v>45582</v>
      </c>
      <c r="R297" s="16"/>
      <c r="S297" s="16"/>
      <c r="T297" s="16"/>
      <c r="U297" s="16">
        <f t="shared" si="8"/>
        <v>6.7000541413800185E-2</v>
      </c>
    </row>
    <row r="298" spans="16:21">
      <c r="P298">
        <f t="shared" si="9"/>
        <v>294</v>
      </c>
      <c r="Q298" s="18">
        <v>45583</v>
      </c>
      <c r="R298" s="16"/>
      <c r="S298" s="16"/>
      <c r="T298" s="16"/>
      <c r="U298" s="16">
        <f t="shared" si="8"/>
        <v>6.7044486050235275E-2</v>
      </c>
    </row>
    <row r="299" spans="16:21">
      <c r="P299">
        <f t="shared" si="9"/>
        <v>295</v>
      </c>
      <c r="Q299" s="18">
        <v>45584</v>
      </c>
      <c r="R299" s="16"/>
      <c r="S299" s="16"/>
      <c r="T299" s="16"/>
      <c r="U299" s="16">
        <f t="shared" si="8"/>
        <v>6.7088430686670364E-2</v>
      </c>
    </row>
    <row r="300" spans="16:21">
      <c r="P300">
        <f t="shared" si="9"/>
        <v>296</v>
      </c>
      <c r="Q300" s="18">
        <v>45585</v>
      </c>
      <c r="R300" s="16"/>
      <c r="S300" s="16"/>
      <c r="T300" s="16"/>
      <c r="U300" s="16">
        <f t="shared" si="8"/>
        <v>6.7132375323105453E-2</v>
      </c>
    </row>
    <row r="301" spans="16:21">
      <c r="P301">
        <f t="shared" si="9"/>
        <v>297</v>
      </c>
      <c r="Q301" s="18">
        <v>45586</v>
      </c>
      <c r="R301" s="16"/>
      <c r="S301" s="16"/>
      <c r="T301" s="16"/>
      <c r="U301" s="16">
        <f t="shared" si="8"/>
        <v>6.7176319959540542E-2</v>
      </c>
    </row>
    <row r="302" spans="16:21">
      <c r="P302">
        <f t="shared" si="9"/>
        <v>298</v>
      </c>
      <c r="Q302" s="18">
        <v>45587</v>
      </c>
      <c r="R302" s="16"/>
      <c r="S302" s="16"/>
      <c r="T302" s="16"/>
      <c r="U302" s="16">
        <f t="shared" si="8"/>
        <v>6.7220264595975632E-2</v>
      </c>
    </row>
    <row r="303" spans="16:21">
      <c r="P303">
        <f t="shared" si="9"/>
        <v>299</v>
      </c>
      <c r="Q303" s="18">
        <v>45588</v>
      </c>
      <c r="R303" s="16"/>
      <c r="S303" s="16"/>
      <c r="T303" s="16"/>
      <c r="U303" s="16">
        <f t="shared" si="8"/>
        <v>6.7264209232411165E-2</v>
      </c>
    </row>
    <row r="304" spans="16:21">
      <c r="P304">
        <f t="shared" si="9"/>
        <v>300</v>
      </c>
      <c r="Q304" s="18">
        <v>45589</v>
      </c>
      <c r="R304" s="16"/>
      <c r="S304" s="16"/>
      <c r="T304" s="16"/>
      <c r="U304" s="16">
        <f t="shared" si="8"/>
        <v>6.7308153868846254E-2</v>
      </c>
    </row>
    <row r="305" spans="16:21">
      <c r="P305">
        <f t="shared" si="9"/>
        <v>301</v>
      </c>
      <c r="Q305" s="18">
        <v>45590</v>
      </c>
      <c r="R305" s="16"/>
      <c r="S305" s="16"/>
      <c r="T305" s="16"/>
      <c r="U305" s="16">
        <f t="shared" si="8"/>
        <v>6.7352098505281344E-2</v>
      </c>
    </row>
    <row r="306" spans="16:21">
      <c r="P306">
        <f t="shared" si="9"/>
        <v>302</v>
      </c>
      <c r="Q306" s="18">
        <v>45591</v>
      </c>
      <c r="R306" s="16"/>
      <c r="S306" s="16"/>
      <c r="T306" s="16"/>
      <c r="U306" s="16"/>
    </row>
    <row r="307" spans="16:21">
      <c r="P307">
        <f t="shared" si="9"/>
        <v>303</v>
      </c>
      <c r="Q307" s="18">
        <v>45592</v>
      </c>
      <c r="R307" s="16"/>
      <c r="S307" s="16"/>
      <c r="T307" s="16"/>
      <c r="U307" s="16"/>
    </row>
    <row r="308" spans="16:21">
      <c r="P308">
        <f t="shared" si="9"/>
        <v>304</v>
      </c>
      <c r="Q308" s="18">
        <v>45593</v>
      </c>
      <c r="R308" s="16"/>
      <c r="S308" s="16"/>
      <c r="T308" s="16"/>
      <c r="U308" s="16"/>
    </row>
    <row r="309" spans="16:21">
      <c r="P309">
        <f t="shared" si="9"/>
        <v>305</v>
      </c>
      <c r="Q309" s="18">
        <v>45594</v>
      </c>
      <c r="R309" s="16"/>
      <c r="S309" s="16"/>
      <c r="T309" s="16"/>
      <c r="U309" s="16"/>
    </row>
    <row r="310" spans="16:21">
      <c r="P310">
        <f t="shared" si="9"/>
        <v>306</v>
      </c>
      <c r="Q310" s="18">
        <v>45595</v>
      </c>
      <c r="R310" s="16"/>
      <c r="S310" s="16"/>
      <c r="T310" s="16"/>
      <c r="U310" s="16"/>
    </row>
    <row r="311" spans="16:21">
      <c r="P311">
        <f t="shared" si="9"/>
        <v>307</v>
      </c>
      <c r="Q311" s="18">
        <v>45596</v>
      </c>
      <c r="R311" s="16"/>
      <c r="S311" s="16"/>
      <c r="T311" s="16"/>
      <c r="U311" s="16"/>
    </row>
    <row r="312" spans="16:21">
      <c r="P312">
        <f t="shared" si="9"/>
        <v>308</v>
      </c>
      <c r="Q312" s="18">
        <v>45597</v>
      </c>
      <c r="R312" s="16"/>
      <c r="S312" s="16"/>
      <c r="T312" s="16"/>
      <c r="U312" s="16"/>
    </row>
    <row r="313" spans="16:21">
      <c r="P313">
        <f t="shared" si="9"/>
        <v>309</v>
      </c>
      <c r="Q313" s="18">
        <v>45598</v>
      </c>
      <c r="R313" s="16"/>
      <c r="S313" s="16"/>
      <c r="T313" s="16"/>
      <c r="U313" s="16"/>
    </row>
    <row r="314" spans="16:21">
      <c r="P314">
        <f t="shared" si="9"/>
        <v>310</v>
      </c>
      <c r="Q314" s="18">
        <v>45599</v>
      </c>
      <c r="R314" s="16"/>
      <c r="S314" s="16"/>
      <c r="T314" s="16"/>
      <c r="U314" s="16"/>
    </row>
    <row r="315" spans="16:21">
      <c r="P315">
        <f t="shared" si="9"/>
        <v>311</v>
      </c>
      <c r="Q315" s="18">
        <v>45600</v>
      </c>
      <c r="R315" s="16"/>
      <c r="S315" s="16"/>
      <c r="T315" s="16"/>
      <c r="U315" s="16"/>
    </row>
    <row r="316" spans="16:21">
      <c r="P316">
        <f t="shared" si="9"/>
        <v>312</v>
      </c>
      <c r="Q316" s="18">
        <v>45601</v>
      </c>
      <c r="R316" s="16"/>
      <c r="S316" s="16"/>
      <c r="T316" s="16"/>
      <c r="U316" s="16"/>
    </row>
    <row r="317" spans="16:21">
      <c r="P317">
        <f t="shared" si="9"/>
        <v>313</v>
      </c>
      <c r="Q317" s="18">
        <v>45602</v>
      </c>
      <c r="R317" s="16"/>
      <c r="S317" s="16"/>
      <c r="T317" s="16"/>
      <c r="U317" s="16"/>
    </row>
    <row r="318" spans="16:21">
      <c r="P318">
        <f t="shared" si="9"/>
        <v>314</v>
      </c>
      <c r="Q318" s="18">
        <v>45603</v>
      </c>
      <c r="R318" s="16"/>
      <c r="S318" s="16"/>
      <c r="T318" s="16"/>
      <c r="U318" s="16"/>
    </row>
    <row r="319" spans="16:21">
      <c r="P319">
        <f t="shared" si="9"/>
        <v>315</v>
      </c>
      <c r="Q319" s="18">
        <v>45604</v>
      </c>
      <c r="R319" s="16"/>
      <c r="S319" s="16"/>
      <c r="T319" s="16"/>
      <c r="U319" s="16"/>
    </row>
    <row r="320" spans="16:21">
      <c r="P320">
        <f t="shared" si="9"/>
        <v>316</v>
      </c>
      <c r="Q320" s="18">
        <v>45605</v>
      </c>
      <c r="R320" s="16"/>
      <c r="S320" s="16"/>
      <c r="T320" s="16"/>
      <c r="U320" s="16"/>
    </row>
    <row r="321" spans="16:21">
      <c r="P321">
        <f t="shared" si="9"/>
        <v>317</v>
      </c>
      <c r="Q321" s="18">
        <v>45606</v>
      </c>
      <c r="R321" s="16"/>
      <c r="S321" s="16"/>
      <c r="T321" s="16"/>
      <c r="U321" s="16"/>
    </row>
    <row r="322" spans="16:21">
      <c r="P322">
        <f t="shared" si="9"/>
        <v>318</v>
      </c>
      <c r="Q322" s="18">
        <v>45607</v>
      </c>
      <c r="R322" s="16"/>
      <c r="S322" s="16"/>
      <c r="T322" s="16"/>
      <c r="U322" s="16"/>
    </row>
    <row r="323" spans="16:21">
      <c r="P323">
        <f t="shared" si="9"/>
        <v>319</v>
      </c>
      <c r="Q323" s="18">
        <v>45608</v>
      </c>
      <c r="R323" s="16"/>
      <c r="S323" s="16"/>
      <c r="T323" s="16"/>
      <c r="U323" s="16"/>
    </row>
    <row r="324" spans="16:21">
      <c r="P324">
        <f t="shared" si="9"/>
        <v>320</v>
      </c>
      <c r="Q324" s="18">
        <v>45609</v>
      </c>
      <c r="R324" s="16"/>
      <c r="S324" s="16"/>
      <c r="T324" s="16"/>
      <c r="U324" s="16"/>
    </row>
    <row r="325" spans="16:21">
      <c r="P325">
        <f t="shared" si="9"/>
        <v>321</v>
      </c>
      <c r="Q325" s="18">
        <v>45610</v>
      </c>
      <c r="R325" s="16"/>
      <c r="S325" s="16"/>
      <c r="T325" s="16"/>
      <c r="U325" s="16"/>
    </row>
    <row r="326" spans="16:21">
      <c r="P326">
        <f t="shared" ref="P326:P369" si="10">P325+1</f>
        <v>322</v>
      </c>
      <c r="Q326" s="18">
        <v>45611</v>
      </c>
      <c r="R326" s="16"/>
      <c r="S326" s="16"/>
      <c r="T326" s="16"/>
      <c r="U326" s="16"/>
    </row>
    <row r="327" spans="16:21">
      <c r="P327">
        <f t="shared" si="10"/>
        <v>323</v>
      </c>
      <c r="Q327" s="18">
        <v>45612</v>
      </c>
      <c r="R327" s="16"/>
      <c r="S327" s="16"/>
      <c r="T327" s="16"/>
      <c r="U327" s="16"/>
    </row>
    <row r="328" spans="16:21">
      <c r="P328">
        <f t="shared" si="10"/>
        <v>324</v>
      </c>
      <c r="Q328" s="18">
        <v>45613</v>
      </c>
      <c r="R328" s="16"/>
      <c r="S328" s="16"/>
      <c r="T328" s="16"/>
      <c r="U328" s="16"/>
    </row>
    <row r="329" spans="16:21">
      <c r="P329">
        <f t="shared" si="10"/>
        <v>325</v>
      </c>
      <c r="Q329" s="18">
        <v>45614</v>
      </c>
      <c r="R329" s="16"/>
      <c r="S329" s="16"/>
      <c r="T329" s="16"/>
      <c r="U329" s="16"/>
    </row>
    <row r="330" spans="16:21">
      <c r="P330">
        <f t="shared" si="10"/>
        <v>326</v>
      </c>
      <c r="Q330" s="18">
        <v>45615</v>
      </c>
      <c r="R330" s="16"/>
      <c r="S330" s="16"/>
      <c r="T330" s="16"/>
      <c r="U330" s="16"/>
    </row>
    <row r="331" spans="16:21">
      <c r="P331">
        <f t="shared" si="10"/>
        <v>327</v>
      </c>
      <c r="Q331" s="18">
        <v>45616</v>
      </c>
      <c r="R331" s="16"/>
      <c r="S331" s="16"/>
      <c r="T331" s="16"/>
      <c r="U331" s="16"/>
    </row>
    <row r="332" spans="16:21">
      <c r="P332">
        <f t="shared" si="10"/>
        <v>328</v>
      </c>
      <c r="Q332" s="18">
        <v>45617</v>
      </c>
      <c r="R332" s="16"/>
      <c r="S332" s="16"/>
      <c r="T332" s="16"/>
      <c r="U332" s="16"/>
    </row>
    <row r="333" spans="16:21">
      <c r="P333">
        <f t="shared" si="10"/>
        <v>329</v>
      </c>
      <c r="Q333" s="18">
        <v>45618</v>
      </c>
      <c r="R333" s="16"/>
      <c r="S333" s="16"/>
      <c r="T333" s="16"/>
      <c r="U333" s="16"/>
    </row>
    <row r="334" spans="16:21">
      <c r="P334">
        <f t="shared" si="10"/>
        <v>330</v>
      </c>
      <c r="Q334" s="18">
        <v>45619</v>
      </c>
      <c r="R334" s="16"/>
      <c r="S334" s="16"/>
      <c r="T334" s="16"/>
      <c r="U334" s="16"/>
    </row>
    <row r="335" spans="16:21">
      <c r="P335">
        <f t="shared" si="10"/>
        <v>331</v>
      </c>
      <c r="Q335" s="18">
        <v>45620</v>
      </c>
      <c r="R335" s="16"/>
      <c r="S335" s="16"/>
      <c r="T335" s="16"/>
      <c r="U335" s="16"/>
    </row>
    <row r="336" spans="16:21">
      <c r="P336">
        <f t="shared" si="10"/>
        <v>332</v>
      </c>
      <c r="Q336" s="18">
        <v>45621</v>
      </c>
      <c r="R336" s="16"/>
      <c r="S336" s="16"/>
      <c r="T336" s="16"/>
      <c r="U336" s="16"/>
    </row>
    <row r="337" spans="16:21">
      <c r="P337">
        <f t="shared" si="10"/>
        <v>333</v>
      </c>
      <c r="Q337" s="18">
        <v>45622</v>
      </c>
      <c r="R337" s="16"/>
      <c r="S337" s="16"/>
      <c r="T337" s="16"/>
      <c r="U337" s="16"/>
    </row>
    <row r="338" spans="16:21">
      <c r="P338">
        <f t="shared" si="10"/>
        <v>334</v>
      </c>
      <c r="Q338" s="18">
        <v>45623</v>
      </c>
      <c r="R338" s="16"/>
      <c r="S338" s="16"/>
      <c r="T338" s="16"/>
      <c r="U338" s="16"/>
    </row>
    <row r="339" spans="16:21">
      <c r="P339">
        <f t="shared" si="10"/>
        <v>335</v>
      </c>
      <c r="Q339" s="18">
        <v>45624</v>
      </c>
      <c r="R339" s="16"/>
      <c r="S339" s="16"/>
      <c r="T339" s="16"/>
      <c r="U339" s="16"/>
    </row>
    <row r="340" spans="16:21">
      <c r="P340">
        <f t="shared" si="10"/>
        <v>336</v>
      </c>
      <c r="Q340" s="18">
        <v>45625</v>
      </c>
      <c r="R340" s="16"/>
      <c r="S340" s="16"/>
      <c r="T340" s="16"/>
      <c r="U340" s="16"/>
    </row>
    <row r="341" spans="16:21">
      <c r="P341">
        <f t="shared" si="10"/>
        <v>337</v>
      </c>
      <c r="Q341" s="18">
        <v>45626</v>
      </c>
      <c r="R341" s="16"/>
      <c r="S341" s="16"/>
      <c r="T341" s="16"/>
      <c r="U341" s="16"/>
    </row>
    <row r="342" spans="16:21">
      <c r="P342">
        <f t="shared" si="10"/>
        <v>338</v>
      </c>
      <c r="Q342" s="18">
        <v>45627</v>
      </c>
      <c r="R342" s="16"/>
      <c r="S342" s="16"/>
      <c r="T342" s="16"/>
      <c r="U342" s="16"/>
    </row>
    <row r="343" spans="16:21">
      <c r="P343">
        <f t="shared" si="10"/>
        <v>339</v>
      </c>
      <c r="Q343" s="18">
        <v>45628</v>
      </c>
      <c r="R343" s="16"/>
      <c r="S343" s="16"/>
      <c r="T343" s="16"/>
      <c r="U343" s="16"/>
    </row>
    <row r="344" spans="16:21">
      <c r="P344">
        <f t="shared" si="10"/>
        <v>340</v>
      </c>
      <c r="Q344" s="18">
        <v>45629</v>
      </c>
      <c r="R344" s="16"/>
      <c r="S344" s="16"/>
      <c r="T344" s="16"/>
      <c r="U344" s="16"/>
    </row>
    <row r="345" spans="16:21">
      <c r="P345">
        <f t="shared" si="10"/>
        <v>341</v>
      </c>
      <c r="Q345" s="18">
        <v>45630</v>
      </c>
      <c r="R345" s="16"/>
      <c r="S345" s="16"/>
      <c r="T345" s="16"/>
      <c r="U345" s="16"/>
    </row>
    <row r="346" spans="16:21">
      <c r="P346">
        <f t="shared" si="10"/>
        <v>342</v>
      </c>
      <c r="Q346" s="18">
        <v>45631</v>
      </c>
      <c r="R346" s="16"/>
      <c r="S346" s="16"/>
      <c r="T346" s="16"/>
      <c r="U346" s="16"/>
    </row>
    <row r="347" spans="16:21">
      <c r="P347">
        <f t="shared" si="10"/>
        <v>343</v>
      </c>
      <c r="Q347" s="18">
        <v>45632</v>
      </c>
      <c r="R347" s="16"/>
      <c r="S347" s="16"/>
      <c r="T347" s="16"/>
      <c r="U347" s="16"/>
    </row>
    <row r="348" spans="16:21">
      <c r="P348">
        <f t="shared" si="10"/>
        <v>344</v>
      </c>
      <c r="Q348" s="18">
        <v>45633</v>
      </c>
      <c r="R348" s="16"/>
      <c r="S348" s="16"/>
      <c r="T348" s="16"/>
      <c r="U348" s="16"/>
    </row>
    <row r="349" spans="16:21">
      <c r="P349">
        <f t="shared" si="10"/>
        <v>345</v>
      </c>
      <c r="Q349" s="18">
        <v>45634</v>
      </c>
      <c r="R349" s="16"/>
      <c r="S349" s="16"/>
      <c r="T349" s="16"/>
      <c r="U349" s="16"/>
    </row>
    <row r="350" spans="16:21">
      <c r="P350">
        <f t="shared" si="10"/>
        <v>346</v>
      </c>
      <c r="Q350" s="18">
        <v>45635</v>
      </c>
      <c r="R350" s="16"/>
      <c r="S350" s="16"/>
      <c r="T350" s="16"/>
      <c r="U350" s="16"/>
    </row>
    <row r="351" spans="16:21">
      <c r="P351">
        <f t="shared" si="10"/>
        <v>347</v>
      </c>
      <c r="Q351" s="18">
        <v>45636</v>
      </c>
      <c r="R351" s="16"/>
      <c r="S351" s="16"/>
      <c r="T351" s="16"/>
      <c r="U351" s="16"/>
    </row>
    <row r="352" spans="16:21">
      <c r="P352">
        <f t="shared" si="10"/>
        <v>348</v>
      </c>
      <c r="Q352" s="18">
        <v>45637</v>
      </c>
      <c r="R352" s="16"/>
      <c r="S352" s="16"/>
      <c r="T352" s="16"/>
      <c r="U352" s="16"/>
    </row>
    <row r="353" spans="16:21">
      <c r="P353">
        <f t="shared" si="10"/>
        <v>349</v>
      </c>
      <c r="Q353" s="18">
        <v>45638</v>
      </c>
      <c r="R353" s="16"/>
      <c r="S353" s="16"/>
      <c r="T353" s="16"/>
      <c r="U353" s="16"/>
    </row>
    <row r="354" spans="16:21">
      <c r="P354">
        <f t="shared" si="10"/>
        <v>350</v>
      </c>
      <c r="Q354" s="18">
        <v>45639</v>
      </c>
      <c r="R354" s="16"/>
      <c r="S354" s="16"/>
      <c r="T354" s="16"/>
      <c r="U354" s="16"/>
    </row>
    <row r="355" spans="16:21">
      <c r="P355">
        <f t="shared" si="10"/>
        <v>351</v>
      </c>
      <c r="Q355" s="18">
        <v>45640</v>
      </c>
      <c r="R355" s="16"/>
      <c r="S355" s="16"/>
      <c r="T355" s="16"/>
      <c r="U355" s="16"/>
    </row>
    <row r="356" spans="16:21">
      <c r="P356">
        <f t="shared" si="10"/>
        <v>352</v>
      </c>
      <c r="Q356" s="18">
        <v>45641</v>
      </c>
      <c r="R356" s="16"/>
      <c r="S356" s="16"/>
      <c r="T356" s="16"/>
      <c r="U356" s="16"/>
    </row>
    <row r="357" spans="16:21">
      <c r="P357">
        <f t="shared" si="10"/>
        <v>353</v>
      </c>
      <c r="Q357" s="18">
        <v>45642</v>
      </c>
      <c r="R357" s="16"/>
      <c r="S357" s="16"/>
      <c r="T357" s="16"/>
      <c r="U357" s="16"/>
    </row>
    <row r="358" spans="16:21">
      <c r="P358">
        <f t="shared" si="10"/>
        <v>354</v>
      </c>
      <c r="Q358" s="18">
        <v>45643</v>
      </c>
      <c r="R358" s="16"/>
      <c r="S358" s="16"/>
      <c r="T358" s="16"/>
      <c r="U358" s="16"/>
    </row>
    <row r="359" spans="16:21">
      <c r="P359">
        <f t="shared" si="10"/>
        <v>355</v>
      </c>
      <c r="Q359" s="18">
        <v>45644</v>
      </c>
      <c r="R359" s="16"/>
      <c r="S359" s="16"/>
      <c r="T359" s="16"/>
      <c r="U359" s="16"/>
    </row>
    <row r="360" spans="16:21">
      <c r="P360">
        <f t="shared" si="10"/>
        <v>356</v>
      </c>
      <c r="Q360" s="18">
        <v>45645</v>
      </c>
      <c r="R360" s="16"/>
      <c r="S360" s="16"/>
      <c r="T360" s="16"/>
      <c r="U360" s="16"/>
    </row>
    <row r="361" spans="16:21">
      <c r="P361">
        <f t="shared" si="10"/>
        <v>357</v>
      </c>
      <c r="Q361" s="18">
        <v>45646</v>
      </c>
      <c r="R361" s="16"/>
      <c r="S361" s="16"/>
      <c r="T361" s="16"/>
      <c r="U361" s="16"/>
    </row>
    <row r="362" spans="16:21">
      <c r="P362">
        <f t="shared" si="10"/>
        <v>358</v>
      </c>
      <c r="Q362" s="18">
        <v>45647</v>
      </c>
      <c r="R362" s="16"/>
      <c r="S362" s="16"/>
      <c r="T362" s="16"/>
      <c r="U362" s="16"/>
    </row>
    <row r="363" spans="16:21">
      <c r="P363">
        <f t="shared" si="10"/>
        <v>359</v>
      </c>
      <c r="Q363" s="18">
        <v>45648</v>
      </c>
      <c r="R363" s="16"/>
      <c r="S363" s="16"/>
      <c r="T363" s="16"/>
      <c r="U363" s="16"/>
    </row>
    <row r="364" spans="16:21">
      <c r="P364">
        <f t="shared" si="10"/>
        <v>360</v>
      </c>
      <c r="Q364" s="18">
        <v>45649</v>
      </c>
      <c r="R364" s="16"/>
      <c r="S364" s="16"/>
      <c r="T364" s="16"/>
      <c r="U364" s="16"/>
    </row>
    <row r="365" spans="16:21">
      <c r="P365">
        <f t="shared" si="10"/>
        <v>361</v>
      </c>
      <c r="Q365" s="18">
        <v>45650</v>
      </c>
      <c r="R365" s="16"/>
      <c r="S365" s="16"/>
      <c r="T365" s="16"/>
      <c r="U365" s="16"/>
    </row>
    <row r="366" spans="16:21">
      <c r="P366">
        <f t="shared" si="10"/>
        <v>362</v>
      </c>
      <c r="Q366" s="18">
        <v>45651</v>
      </c>
      <c r="R366" s="16"/>
      <c r="S366" s="16"/>
      <c r="T366" s="16"/>
      <c r="U366" s="16"/>
    </row>
    <row r="367" spans="16:21">
      <c r="P367">
        <f t="shared" si="10"/>
        <v>363</v>
      </c>
      <c r="Q367" s="18">
        <v>45652</v>
      </c>
      <c r="R367" s="16"/>
      <c r="S367" s="16"/>
      <c r="T367" s="16"/>
      <c r="U367" s="16"/>
    </row>
    <row r="368" spans="16:21">
      <c r="P368">
        <f t="shared" si="10"/>
        <v>364</v>
      </c>
      <c r="Q368" s="18">
        <v>45653</v>
      </c>
      <c r="R368" s="16"/>
      <c r="S368" s="16"/>
      <c r="T368" s="16"/>
      <c r="U368" s="16"/>
    </row>
    <row r="369" spans="16:21">
      <c r="P369">
        <f t="shared" si="10"/>
        <v>365</v>
      </c>
      <c r="Q369" s="18">
        <v>45654</v>
      </c>
      <c r="R369" s="16"/>
      <c r="S369" s="16"/>
      <c r="T369" s="16"/>
      <c r="U369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1B398-182A-4D8D-ABD1-FB311B75AC43}">
  <sheetPr codeName="Sheet7"/>
  <dimension ref="A1:D1"/>
  <sheetViews>
    <sheetView workbookViewId="0">
      <selection activeCell="E2" sqref="E2"/>
    </sheetView>
  </sheetViews>
  <sheetFormatPr defaultRowHeight="15"/>
  <cols>
    <col min="1" max="1" width="16.28515625" bestFit="1" customWidth="1"/>
    <col min="2" max="2" width="10.42578125" bestFit="1" customWidth="1"/>
    <col min="4" max="4" width="12.7109375" bestFit="1" customWidth="1"/>
  </cols>
  <sheetData>
    <row r="1" spans="1:4">
      <c r="A1" t="s">
        <v>87</v>
      </c>
      <c r="B1" s="20">
        <v>45289</v>
      </c>
      <c r="C1" t="s">
        <v>182</v>
      </c>
      <c r="D1">
        <f ca="1">'Trading Book'!BK4*'Trading Book'!BN4+_xlfn.PERCENTILE.EXC(Sheet4!B:B,5%)-'Funding Cost'!G2-'Funding Cost'!F2-'Funding Cost'!D2</f>
        <v>-720948.603651691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55C91-BDEA-4405-9FD4-2EAC08D5BCF2}">
  <sheetPr codeName="Sheet8"/>
  <dimension ref="A1:BN234"/>
  <sheetViews>
    <sheetView topLeftCell="AP1" workbookViewId="0">
      <selection activeCell="BK4" sqref="BK4"/>
    </sheetView>
  </sheetViews>
  <sheetFormatPr defaultRowHeight="15"/>
  <cols>
    <col min="1" max="1" width="10.42578125" bestFit="1" customWidth="1"/>
    <col min="61" max="61" width="14.28515625" bestFit="1" customWidth="1"/>
    <col min="63" max="63" width="17.42578125" bestFit="1" customWidth="1"/>
  </cols>
  <sheetData>
    <row r="1" spans="1:66">
      <c r="B1" t="s">
        <v>136</v>
      </c>
      <c r="C1" t="s">
        <v>136</v>
      </c>
      <c r="D1" t="s">
        <v>136</v>
      </c>
      <c r="E1" t="s">
        <v>136</v>
      </c>
      <c r="F1" t="s">
        <v>136</v>
      </c>
      <c r="G1" t="s">
        <v>136</v>
      </c>
      <c r="H1" t="s">
        <v>136</v>
      </c>
      <c r="I1" t="s">
        <v>136</v>
      </c>
      <c r="J1" t="s">
        <v>136</v>
      </c>
      <c r="K1" t="s">
        <v>136</v>
      </c>
      <c r="L1" t="s">
        <v>137</v>
      </c>
      <c r="M1" t="s">
        <v>137</v>
      </c>
      <c r="N1" t="s">
        <v>137</v>
      </c>
      <c r="O1" t="s">
        <v>137</v>
      </c>
      <c r="P1" t="s">
        <v>137</v>
      </c>
      <c r="Q1" t="s">
        <v>137</v>
      </c>
      <c r="R1" t="s">
        <v>137</v>
      </c>
      <c r="S1" t="s">
        <v>137</v>
      </c>
      <c r="T1" t="s">
        <v>137</v>
      </c>
      <c r="U1" t="s">
        <v>137</v>
      </c>
      <c r="V1" t="s">
        <v>138</v>
      </c>
      <c r="W1" t="s">
        <v>138</v>
      </c>
      <c r="X1" t="s">
        <v>138</v>
      </c>
      <c r="Y1" t="s">
        <v>138</v>
      </c>
      <c r="Z1" t="s">
        <v>138</v>
      </c>
      <c r="AA1" t="s">
        <v>138</v>
      </c>
      <c r="AB1" t="s">
        <v>138</v>
      </c>
      <c r="AC1" t="s">
        <v>138</v>
      </c>
      <c r="AD1" t="s">
        <v>138</v>
      </c>
      <c r="AE1" t="s">
        <v>138</v>
      </c>
      <c r="AF1" t="s">
        <v>139</v>
      </c>
      <c r="AG1" t="s">
        <v>139</v>
      </c>
      <c r="AH1" t="s">
        <v>139</v>
      </c>
      <c r="AI1" t="s">
        <v>139</v>
      </c>
      <c r="AJ1" t="s">
        <v>139</v>
      </c>
      <c r="AK1" t="s">
        <v>139</v>
      </c>
      <c r="AL1" t="s">
        <v>139</v>
      </c>
      <c r="AM1" t="s">
        <v>139</v>
      </c>
      <c r="AN1" t="s">
        <v>139</v>
      </c>
      <c r="AO1" t="s">
        <v>139</v>
      </c>
      <c r="AP1" t="s">
        <v>140</v>
      </c>
      <c r="AQ1" t="s">
        <v>140</v>
      </c>
      <c r="AR1" t="s">
        <v>140</v>
      </c>
      <c r="AS1" t="s">
        <v>140</v>
      </c>
      <c r="AT1" t="s">
        <v>140</v>
      </c>
      <c r="AU1" t="s">
        <v>140</v>
      </c>
      <c r="AV1" t="s">
        <v>140</v>
      </c>
      <c r="AW1" t="s">
        <v>140</v>
      </c>
      <c r="AX1" t="s">
        <v>140</v>
      </c>
      <c r="AY1" t="s">
        <v>140</v>
      </c>
      <c r="AZ1" t="s">
        <v>141</v>
      </c>
      <c r="BA1" t="s">
        <v>141</v>
      </c>
      <c r="BB1" t="s">
        <v>141</v>
      </c>
      <c r="BC1" t="s">
        <v>141</v>
      </c>
      <c r="BD1" t="s">
        <v>141</v>
      </c>
      <c r="BE1" t="s">
        <v>141</v>
      </c>
      <c r="BF1" t="s">
        <v>141</v>
      </c>
      <c r="BG1" t="s">
        <v>141</v>
      </c>
      <c r="BH1" t="s">
        <v>141</v>
      </c>
      <c r="BI1" t="s">
        <v>141</v>
      </c>
      <c r="BL1" t="s">
        <v>173</v>
      </c>
    </row>
    <row r="2" spans="1:66">
      <c r="B2" t="s">
        <v>142</v>
      </c>
      <c r="C2" t="s">
        <v>143</v>
      </c>
      <c r="D2" t="s">
        <v>144</v>
      </c>
      <c r="E2" t="s">
        <v>145</v>
      </c>
      <c r="F2" t="s">
        <v>146</v>
      </c>
      <c r="G2" t="s">
        <v>147</v>
      </c>
      <c r="H2" t="s">
        <v>148</v>
      </c>
      <c r="I2" t="s">
        <v>149</v>
      </c>
      <c r="J2" t="s">
        <v>150</v>
      </c>
      <c r="K2" t="s">
        <v>151</v>
      </c>
      <c r="L2" t="s">
        <v>142</v>
      </c>
      <c r="M2" t="s">
        <v>143</v>
      </c>
      <c r="N2" t="s">
        <v>144</v>
      </c>
      <c r="O2" t="s">
        <v>145</v>
      </c>
      <c r="P2" t="s">
        <v>146</v>
      </c>
      <c r="Q2" t="s">
        <v>147</v>
      </c>
      <c r="R2" t="s">
        <v>148</v>
      </c>
      <c r="S2" t="s">
        <v>149</v>
      </c>
      <c r="T2" t="s">
        <v>150</v>
      </c>
      <c r="U2" t="s">
        <v>151</v>
      </c>
      <c r="V2" t="s">
        <v>142</v>
      </c>
      <c r="W2" t="s">
        <v>143</v>
      </c>
      <c r="X2" t="s">
        <v>144</v>
      </c>
      <c r="Y2" t="s">
        <v>145</v>
      </c>
      <c r="Z2" t="s">
        <v>146</v>
      </c>
      <c r="AA2" t="s">
        <v>147</v>
      </c>
      <c r="AB2" t="s">
        <v>148</v>
      </c>
      <c r="AC2" t="s">
        <v>149</v>
      </c>
      <c r="AD2" t="s">
        <v>150</v>
      </c>
      <c r="AE2" t="s">
        <v>151</v>
      </c>
      <c r="AF2" t="s">
        <v>142</v>
      </c>
      <c r="AG2" t="s">
        <v>143</v>
      </c>
      <c r="AH2" t="s">
        <v>144</v>
      </c>
      <c r="AI2" t="s">
        <v>145</v>
      </c>
      <c r="AJ2" t="s">
        <v>146</v>
      </c>
      <c r="AK2" t="s">
        <v>147</v>
      </c>
      <c r="AL2" t="s">
        <v>148</v>
      </c>
      <c r="AM2" t="s">
        <v>149</v>
      </c>
      <c r="AN2" t="s">
        <v>150</v>
      </c>
      <c r="AO2" t="s">
        <v>151</v>
      </c>
      <c r="AP2" t="s">
        <v>142</v>
      </c>
      <c r="AQ2" t="s">
        <v>143</v>
      </c>
      <c r="AR2" t="s">
        <v>144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142</v>
      </c>
      <c r="BA2" t="s">
        <v>143</v>
      </c>
      <c r="BB2" t="s">
        <v>144</v>
      </c>
      <c r="BC2" t="s">
        <v>145</v>
      </c>
      <c r="BD2" t="s">
        <v>146</v>
      </c>
      <c r="BE2" t="s">
        <v>147</v>
      </c>
      <c r="BF2" t="s">
        <v>148</v>
      </c>
      <c r="BG2" t="s">
        <v>149</v>
      </c>
      <c r="BH2" t="s">
        <v>150</v>
      </c>
      <c r="BI2" t="s">
        <v>151</v>
      </c>
      <c r="BJ2" t="s">
        <v>171</v>
      </c>
      <c r="BK2" t="s">
        <v>172</v>
      </c>
      <c r="BL2">
        <f>AVERAGE(BJ4:BJ234)</f>
        <v>7.5720778070476474E-3</v>
      </c>
    </row>
    <row r="3" spans="1:66">
      <c r="A3" t="s">
        <v>0</v>
      </c>
      <c r="BL3">
        <f>_xlfn.STDEV.P(BJ4:BJ234)</f>
        <v>3.1980926026971841E-2</v>
      </c>
      <c r="BN3" t="s">
        <v>181</v>
      </c>
    </row>
    <row r="4" spans="1:66">
      <c r="A4" s="2">
        <v>44593</v>
      </c>
      <c r="B4">
        <v>174.009994506835</v>
      </c>
      <c r="C4">
        <v>174.83999633789</v>
      </c>
      <c r="D4">
        <v>172.30999755859301</v>
      </c>
      <c r="E4">
        <v>174.61000061035099</v>
      </c>
      <c r="F4">
        <v>172.41748046875</v>
      </c>
      <c r="G4">
        <v>86213900</v>
      </c>
      <c r="H4">
        <v>0.1</v>
      </c>
      <c r="I4">
        <v>-9.7264086355774895E-4</v>
      </c>
      <c r="J4">
        <v>2.11994652569567E-2</v>
      </c>
      <c r="K4">
        <v>165.31799926757799</v>
      </c>
      <c r="L4">
        <v>137.59449768066401</v>
      </c>
      <c r="M4">
        <v>137.79299926757801</v>
      </c>
      <c r="N4">
        <v>134.36849975585901</v>
      </c>
      <c r="O4">
        <v>137.64399719238199</v>
      </c>
      <c r="P4">
        <v>137.64399719238199</v>
      </c>
      <c r="Q4">
        <v>68644000</v>
      </c>
      <c r="R4">
        <v>0.1</v>
      </c>
      <c r="S4">
        <v>1.72981476782543E-2</v>
      </c>
      <c r="T4">
        <v>1.9238792758521001E-2</v>
      </c>
      <c r="U4">
        <v>132.10509948730399</v>
      </c>
      <c r="V4">
        <v>310.41000366210898</v>
      </c>
      <c r="W4">
        <v>310.63000488281199</v>
      </c>
      <c r="X4">
        <v>305.13000488281199</v>
      </c>
      <c r="Y4">
        <v>308.760009765625</v>
      </c>
      <c r="Z4">
        <v>302.64556884765602</v>
      </c>
      <c r="AA4">
        <v>40950400</v>
      </c>
      <c r="AB4">
        <v>0.1</v>
      </c>
      <c r="AC4">
        <v>-7.1387264205888803E-3</v>
      </c>
      <c r="AD4">
        <v>1.9565869308435499E-2</v>
      </c>
      <c r="AE4">
        <v>301.03699951171802</v>
      </c>
      <c r="AF4">
        <v>171.74000549316401</v>
      </c>
      <c r="AG4">
        <v>171.97999572753901</v>
      </c>
      <c r="AH4">
        <v>169.42999267578099</v>
      </c>
      <c r="AI4">
        <v>170.88000488281199</v>
      </c>
      <c r="AJ4">
        <v>160.38377380371</v>
      </c>
      <c r="AK4">
        <v>8154700</v>
      </c>
      <c r="AL4">
        <v>0.1</v>
      </c>
      <c r="AM4">
        <v>-8.18380903282445E-3</v>
      </c>
      <c r="AN4">
        <v>9.9685890766320305E-3</v>
      </c>
      <c r="AO4">
        <v>168.122999572753</v>
      </c>
      <c r="AP4">
        <v>60.909999847412102</v>
      </c>
      <c r="AQ4">
        <v>61.139999389648402</v>
      </c>
      <c r="AR4">
        <v>60.159999847412102</v>
      </c>
      <c r="AS4">
        <v>60.560001373291001</v>
      </c>
      <c r="AT4">
        <v>56.568355560302699</v>
      </c>
      <c r="AU4">
        <v>20841700</v>
      </c>
      <c r="AV4">
        <v>0.1</v>
      </c>
      <c r="AW4">
        <v>-7.37579020852652E-3</v>
      </c>
      <c r="AX4">
        <v>7.6626265816735302E-3</v>
      </c>
      <c r="AY4">
        <v>60.363999938964803</v>
      </c>
      <c r="AZ4">
        <v>0.21999999880790699</v>
      </c>
      <c r="BA4">
        <v>0.22300000488758001</v>
      </c>
      <c r="BB4">
        <v>0.20299999415874401</v>
      </c>
      <c r="BC4">
        <v>0.20299999415874401</v>
      </c>
      <c r="BD4">
        <v>0.20299999415874401</v>
      </c>
      <c r="BE4">
        <v>0</v>
      </c>
      <c r="BF4">
        <v>0.5</v>
      </c>
      <c r="BG4">
        <v>0.17341041856502101</v>
      </c>
      <c r="BH4">
        <v>0.14735494450719899</v>
      </c>
      <c r="BI4">
        <v>0.17430000007152499</v>
      </c>
      <c r="BJ4">
        <f>BG4*BF4+AW4*AV4+AM4*AL4+AC4*AB4+S4*R4+I4*H4</f>
        <v>8.6067927397786181E-2</v>
      </c>
      <c r="BK4">
        <f>PERCENTILE(BJ4:BJ234,5%)</f>
        <v>-3.5566926149708245E-2</v>
      </c>
      <c r="BL4">
        <f>BL2-BL3*1.65</f>
        <v>-4.5196450137455886E-2</v>
      </c>
      <c r="BN4">
        <v>10000000</v>
      </c>
    </row>
    <row r="5" spans="1:66">
      <c r="A5" s="2">
        <v>44594</v>
      </c>
      <c r="B5">
        <v>174.75</v>
      </c>
      <c r="C5">
        <v>175.88000488281199</v>
      </c>
      <c r="D5">
        <v>173.33000183105401</v>
      </c>
      <c r="E5">
        <v>175.83999633789</v>
      </c>
      <c r="F5">
        <v>173.63203430175699</v>
      </c>
      <c r="G5">
        <v>84914300</v>
      </c>
      <c r="H5">
        <v>0.1</v>
      </c>
      <c r="I5">
        <v>7.0442455944081904E-3</v>
      </c>
      <c r="J5">
        <v>2.1128195737535702E-2</v>
      </c>
      <c r="K5">
        <v>166.278999328613</v>
      </c>
      <c r="L5">
        <v>151.25</v>
      </c>
      <c r="M5">
        <v>151.54649353027301</v>
      </c>
      <c r="N5">
        <v>145.52250671386699</v>
      </c>
      <c r="O5">
        <v>148</v>
      </c>
      <c r="P5">
        <v>148</v>
      </c>
      <c r="Q5">
        <v>123200000</v>
      </c>
      <c r="R5">
        <v>0.1</v>
      </c>
      <c r="S5">
        <v>7.5237591314227498E-2</v>
      </c>
      <c r="T5">
        <v>2.5900404244194899E-2</v>
      </c>
      <c r="U5">
        <v>133.39344940185501</v>
      </c>
      <c r="V5">
        <v>309.63000488281199</v>
      </c>
      <c r="W5">
        <v>315.11999511718699</v>
      </c>
      <c r="X5">
        <v>308.88000488281199</v>
      </c>
      <c r="Y5">
        <v>313.45999145507801</v>
      </c>
      <c r="Z5">
        <v>307.25247192382801</v>
      </c>
      <c r="AA5">
        <v>36636000</v>
      </c>
      <c r="AB5">
        <v>0.1</v>
      </c>
      <c r="AC5">
        <v>1.5222119253788E-2</v>
      </c>
      <c r="AD5">
        <v>1.97459630427907E-2</v>
      </c>
      <c r="AE5">
        <v>302.05</v>
      </c>
      <c r="AF5">
        <v>169.64999389648401</v>
      </c>
      <c r="AG5">
        <v>172.99000549316401</v>
      </c>
      <c r="AH5">
        <v>169.64999389648401</v>
      </c>
      <c r="AI5">
        <v>172.77000427246</v>
      </c>
      <c r="AJ5">
        <v>162.15765380859301</v>
      </c>
      <c r="AK5">
        <v>7382800</v>
      </c>
      <c r="AL5">
        <v>0.1</v>
      </c>
      <c r="AM5">
        <v>1.1060389370567801E-2</v>
      </c>
      <c r="AN5">
        <v>1.0254119742384099E-2</v>
      </c>
      <c r="AO5">
        <v>168.74199981689401</v>
      </c>
      <c r="AP5">
        <v>60.619998931884702</v>
      </c>
      <c r="AQ5">
        <v>61.270000457763601</v>
      </c>
      <c r="AR5">
        <v>60.560001373291001</v>
      </c>
      <c r="AS5">
        <v>61.180000305175703</v>
      </c>
      <c r="AT5">
        <v>57.147491455078097</v>
      </c>
      <c r="AU5">
        <v>20225600</v>
      </c>
      <c r="AV5">
        <v>0.1</v>
      </c>
      <c r="AW5">
        <v>1.02377628438794E-2</v>
      </c>
      <c r="AX5">
        <v>7.08427875386202E-3</v>
      </c>
      <c r="AY5">
        <v>60.381999969482401</v>
      </c>
      <c r="AZ5">
        <v>0.19499999284744199</v>
      </c>
      <c r="BA5">
        <v>0.19499999284744199</v>
      </c>
      <c r="BB5">
        <v>0.18000000715255701</v>
      </c>
      <c r="BC5">
        <v>0.18500000238418501</v>
      </c>
      <c r="BD5">
        <v>0.18500000238418501</v>
      </c>
      <c r="BE5">
        <v>0</v>
      </c>
      <c r="BF5">
        <v>0.5</v>
      </c>
      <c r="BG5">
        <v>-8.8669912770948794E-2</v>
      </c>
      <c r="BH5">
        <v>0.111529055317467</v>
      </c>
      <c r="BI5">
        <v>0.17629999965429299</v>
      </c>
      <c r="BJ5">
        <f t="shared" ref="BJ5:BJ68" si="0">BG5*BF5+AW5*AV5+AM5*AL5+AC5*AB5+S5*R5+I5*H5</f>
        <v>-3.2454745547787302E-2</v>
      </c>
    </row>
    <row r="6" spans="1:66">
      <c r="A6" s="2">
        <v>44595</v>
      </c>
      <c r="B6">
        <v>174.47999572753901</v>
      </c>
      <c r="C6">
        <v>176.24000549316401</v>
      </c>
      <c r="D6">
        <v>172.11999511718699</v>
      </c>
      <c r="E6">
        <v>172.89999389648401</v>
      </c>
      <c r="F6">
        <v>170.72894287109301</v>
      </c>
      <c r="G6">
        <v>89418100</v>
      </c>
      <c r="H6">
        <v>0.1</v>
      </c>
      <c r="I6">
        <v>-1.6719759455390299E-2</v>
      </c>
      <c r="J6">
        <v>2.0604140235449601E-2</v>
      </c>
      <c r="K6">
        <v>167.117999267578</v>
      </c>
      <c r="L6">
        <v>145.70550537109301</v>
      </c>
      <c r="M6">
        <v>149.67500305175699</v>
      </c>
      <c r="N6">
        <v>142.66549682617099</v>
      </c>
      <c r="O6">
        <v>143.08999633789</v>
      </c>
      <c r="P6">
        <v>143.08999633789</v>
      </c>
      <c r="Q6">
        <v>71518000</v>
      </c>
      <c r="R6">
        <v>0.1</v>
      </c>
      <c r="S6">
        <v>-3.3175700419657797E-2</v>
      </c>
      <c r="T6">
        <v>2.48092063238665E-2</v>
      </c>
      <c r="U6">
        <v>134.371699523925</v>
      </c>
      <c r="V6">
        <v>309.489990234375</v>
      </c>
      <c r="W6">
        <v>311.23001098632801</v>
      </c>
      <c r="X6">
        <v>299.95999145507801</v>
      </c>
      <c r="Y6">
        <v>301.25</v>
      </c>
      <c r="Z6">
        <v>295.28430175781199</v>
      </c>
      <c r="AA6">
        <v>43730000</v>
      </c>
      <c r="AB6">
        <v>0.1</v>
      </c>
      <c r="AC6">
        <v>-3.8952312218217898E-2</v>
      </c>
      <c r="AD6">
        <v>1.9800684525415502E-2</v>
      </c>
      <c r="AE6">
        <v>302.01499938964798</v>
      </c>
      <c r="AF6">
        <v>172.259994506835</v>
      </c>
      <c r="AG6">
        <v>173.61999511718699</v>
      </c>
      <c r="AH6">
        <v>171.03999328613199</v>
      </c>
      <c r="AI6">
        <v>172.759994506835</v>
      </c>
      <c r="AJ6">
        <v>162.14826965332</v>
      </c>
      <c r="AK6">
        <v>6240400</v>
      </c>
      <c r="AL6">
        <v>0.1</v>
      </c>
      <c r="AM6" s="23">
        <v>-5.7936941468272803E-5</v>
      </c>
      <c r="AN6">
        <v>1.01525447369315E-2</v>
      </c>
      <c r="AO6">
        <v>169.492999267578</v>
      </c>
      <c r="AP6">
        <v>60.939998626708899</v>
      </c>
      <c r="AQ6">
        <v>61.779998779296797</v>
      </c>
      <c r="AR6">
        <v>60.590000152587798</v>
      </c>
      <c r="AS6">
        <v>61.610000610351499</v>
      </c>
      <c r="AT6">
        <v>57.549148559570298</v>
      </c>
      <c r="AU6">
        <v>19440500</v>
      </c>
      <c r="AV6">
        <v>0.1</v>
      </c>
      <c r="AW6">
        <v>7.02844561998805E-3</v>
      </c>
      <c r="AX6">
        <v>7.0188029832523799E-3</v>
      </c>
      <c r="AY6">
        <v>60.468000030517501</v>
      </c>
      <c r="AZ6">
        <v>0.193000003695487</v>
      </c>
      <c r="BA6">
        <v>0.19799999892711601</v>
      </c>
      <c r="BB6">
        <v>0.187999993562698</v>
      </c>
      <c r="BC6">
        <v>0.193000003695487</v>
      </c>
      <c r="BD6">
        <v>0.193000003695487</v>
      </c>
      <c r="BE6">
        <v>0</v>
      </c>
      <c r="BF6">
        <v>0.5</v>
      </c>
      <c r="BG6">
        <v>4.3243249774066198E-2</v>
      </c>
      <c r="BH6">
        <v>0.11148143240238299</v>
      </c>
      <c r="BI6">
        <v>0.17880000025033899</v>
      </c>
      <c r="BJ6">
        <f t="shared" si="0"/>
        <v>1.3433898545558478E-2</v>
      </c>
    </row>
    <row r="7" spans="1:66">
      <c r="A7" s="2">
        <v>44596</v>
      </c>
      <c r="B7">
        <v>171.67999267578099</v>
      </c>
      <c r="C7">
        <v>174.100006103515</v>
      </c>
      <c r="D7">
        <v>170.67999267578099</v>
      </c>
      <c r="E7">
        <v>172.38999938964801</v>
      </c>
      <c r="F7">
        <v>170.44223022460901</v>
      </c>
      <c r="G7">
        <v>82465400</v>
      </c>
      <c r="H7">
        <v>0.1</v>
      </c>
      <c r="I7">
        <v>-2.9496502304173699E-3</v>
      </c>
      <c r="J7">
        <v>2.0257850748883598E-2</v>
      </c>
      <c r="K7">
        <v>168.115998840332</v>
      </c>
      <c r="L7">
        <v>143.44450378417901</v>
      </c>
      <c r="M7">
        <v>144.875</v>
      </c>
      <c r="N7">
        <v>140.51499938964801</v>
      </c>
      <c r="O7">
        <v>143.29299926757801</v>
      </c>
      <c r="P7">
        <v>143.29299926757801</v>
      </c>
      <c r="Q7">
        <v>57998000</v>
      </c>
      <c r="R7">
        <v>0.1</v>
      </c>
      <c r="S7">
        <v>1.41870805005916E-3</v>
      </c>
      <c r="T7">
        <v>2.4803670579838202E-2</v>
      </c>
      <c r="U7">
        <v>135.66584930419901</v>
      </c>
      <c r="V7">
        <v>300.20999145507801</v>
      </c>
      <c r="W7">
        <v>308.79998779296801</v>
      </c>
      <c r="X7">
        <v>299.97000122070301</v>
      </c>
      <c r="Y7">
        <v>305.94000244140602</v>
      </c>
      <c r="Z7">
        <v>299.88140869140602</v>
      </c>
      <c r="AA7">
        <v>35096500</v>
      </c>
      <c r="AB7">
        <v>0.1</v>
      </c>
      <c r="AC7">
        <v>1.55684728345435E-2</v>
      </c>
      <c r="AD7">
        <v>2.0141243284180401E-2</v>
      </c>
      <c r="AE7">
        <v>303.00599975585902</v>
      </c>
      <c r="AF7">
        <v>171</v>
      </c>
      <c r="AG7">
        <v>172.97999572753901</v>
      </c>
      <c r="AH7">
        <v>170.11999511718699</v>
      </c>
      <c r="AI7">
        <v>171.63000488281199</v>
      </c>
      <c r="AJ7">
        <v>161.08769226074199</v>
      </c>
      <c r="AK7">
        <v>6392200</v>
      </c>
      <c r="AL7">
        <v>0.1</v>
      </c>
      <c r="AM7">
        <v>-6.5408060891014499E-3</v>
      </c>
      <c r="AN7">
        <v>1.02347386057586E-2</v>
      </c>
      <c r="AO7">
        <v>170.16900024413999</v>
      </c>
      <c r="AP7">
        <v>61.490001678466797</v>
      </c>
      <c r="AQ7">
        <v>61.680000305175703</v>
      </c>
      <c r="AR7">
        <v>60.569999694824197</v>
      </c>
      <c r="AS7">
        <v>60.959999084472599</v>
      </c>
      <c r="AT7">
        <v>56.941989898681598</v>
      </c>
      <c r="AU7">
        <v>17403700</v>
      </c>
      <c r="AV7">
        <v>0.1</v>
      </c>
      <c r="AW7">
        <v>-1.05502600136266E-2</v>
      </c>
      <c r="AX7">
        <v>7.3468241305558804E-3</v>
      </c>
      <c r="AY7">
        <v>60.518999862670803</v>
      </c>
      <c r="AZ7">
        <v>0.18999999761581399</v>
      </c>
      <c r="BA7">
        <v>0.22800000011920901</v>
      </c>
      <c r="BB7">
        <v>0.187999993562698</v>
      </c>
      <c r="BC7">
        <v>0.22300000488758001</v>
      </c>
      <c r="BD7">
        <v>0.22300000488758001</v>
      </c>
      <c r="BE7">
        <v>0</v>
      </c>
      <c r="BF7">
        <v>0.5</v>
      </c>
      <c r="BG7">
        <v>0.15544041770810699</v>
      </c>
      <c r="BH7">
        <v>0.114077011674979</v>
      </c>
      <c r="BI7">
        <v>0.18530000001192001</v>
      </c>
      <c r="BJ7">
        <f t="shared" si="0"/>
        <v>7.7414855309199199E-2</v>
      </c>
    </row>
    <row r="8" spans="1:66">
      <c r="A8" s="2">
        <v>44599</v>
      </c>
      <c r="B8">
        <v>172.86000061035099</v>
      </c>
      <c r="C8">
        <v>173.94999694824199</v>
      </c>
      <c r="D8">
        <v>170.94999694824199</v>
      </c>
      <c r="E8">
        <v>171.66000366210901</v>
      </c>
      <c r="F8">
        <v>169.72048950195301</v>
      </c>
      <c r="G8">
        <v>77251200</v>
      </c>
      <c r="H8">
        <v>0.1</v>
      </c>
      <c r="I8">
        <v>-4.2345596039423603E-3</v>
      </c>
      <c r="J8">
        <v>2.0282200775023299E-2</v>
      </c>
      <c r="K8">
        <v>169.119999694824</v>
      </c>
      <c r="L8">
        <v>144.25</v>
      </c>
      <c r="M8">
        <v>144.25</v>
      </c>
      <c r="N8">
        <v>138.89999389648401</v>
      </c>
      <c r="O8">
        <v>139.20100402832</v>
      </c>
      <c r="P8">
        <v>139.20100402832</v>
      </c>
      <c r="Q8">
        <v>54974000</v>
      </c>
      <c r="R8">
        <v>0.1</v>
      </c>
      <c r="S8">
        <v>-2.8556839902671199E-2</v>
      </c>
      <c r="T8">
        <v>2.5705585895297201E-2</v>
      </c>
      <c r="U8">
        <v>136.50554962158199</v>
      </c>
      <c r="V8">
        <v>306.17001342773398</v>
      </c>
      <c r="W8">
        <v>307.83999633789</v>
      </c>
      <c r="X8">
        <v>299.89999389648398</v>
      </c>
      <c r="Y8">
        <v>300.95001220703102</v>
      </c>
      <c r="Z8">
        <v>294.99020385742102</v>
      </c>
      <c r="AA8">
        <v>28533300</v>
      </c>
      <c r="AB8">
        <v>0.1</v>
      </c>
      <c r="AC8">
        <v>-1.6310355607487701E-2</v>
      </c>
      <c r="AD8">
        <v>2.04203448676109E-2</v>
      </c>
      <c r="AE8">
        <v>303.46400146484302</v>
      </c>
      <c r="AF8">
        <v>171.41000366210901</v>
      </c>
      <c r="AG8">
        <v>171.74000549316401</v>
      </c>
      <c r="AH8">
        <v>170.009994506835</v>
      </c>
      <c r="AI8">
        <v>171.05999755859301</v>
      </c>
      <c r="AJ8">
        <v>160.55270385742099</v>
      </c>
      <c r="AK8">
        <v>6065700</v>
      </c>
      <c r="AL8">
        <v>0.1</v>
      </c>
      <c r="AM8">
        <v>-3.3211402901721599E-3</v>
      </c>
      <c r="AN8">
        <v>9.7496093272925691E-3</v>
      </c>
      <c r="AO8">
        <v>170.97799987792899</v>
      </c>
      <c r="AP8">
        <v>61.380001068115199</v>
      </c>
      <c r="AQ8">
        <v>61.720001220703097</v>
      </c>
      <c r="AR8">
        <v>60.860000610351499</v>
      </c>
      <c r="AS8">
        <v>61.599998474121001</v>
      </c>
      <c r="AT8">
        <v>57.5398139953613</v>
      </c>
      <c r="AU8">
        <v>17846400</v>
      </c>
      <c r="AV8">
        <v>0.1</v>
      </c>
      <c r="AW8">
        <v>1.04986778093876E-2</v>
      </c>
      <c r="AX8">
        <v>7.6474806246876704E-3</v>
      </c>
      <c r="AY8">
        <v>60.682999801635702</v>
      </c>
      <c r="AZ8">
        <v>0.21999999880790699</v>
      </c>
      <c r="BA8">
        <v>0.21999999880790699</v>
      </c>
      <c r="BB8">
        <v>0.20000000298023199</v>
      </c>
      <c r="BC8">
        <v>0.20299999415874401</v>
      </c>
      <c r="BD8">
        <v>0.20299999415874401</v>
      </c>
      <c r="BE8">
        <v>0</v>
      </c>
      <c r="BF8">
        <v>0.5</v>
      </c>
      <c r="BG8">
        <v>-8.9686144800393594E-2</v>
      </c>
      <c r="BH8">
        <v>0.11733750337489</v>
      </c>
      <c r="BI8">
        <v>0.19009999930858601</v>
      </c>
      <c r="BJ8">
        <f t="shared" si="0"/>
        <v>-4.9035494159685375E-2</v>
      </c>
      <c r="BL8" t="s">
        <v>174</v>
      </c>
    </row>
    <row r="9" spans="1:66">
      <c r="A9" s="2">
        <v>44600</v>
      </c>
      <c r="B9">
        <v>171.72999572753901</v>
      </c>
      <c r="C9">
        <v>175.350006103515</v>
      </c>
      <c r="D9">
        <v>171.42999267578099</v>
      </c>
      <c r="E9">
        <v>174.83000183105401</v>
      </c>
      <c r="F9">
        <v>172.85466003417901</v>
      </c>
      <c r="G9">
        <v>74829200</v>
      </c>
      <c r="H9">
        <v>0.1</v>
      </c>
      <c r="I9">
        <v>1.84667255115817E-2</v>
      </c>
      <c r="J9">
        <v>2.0696578189594299E-2</v>
      </c>
      <c r="K9">
        <v>170.625</v>
      </c>
      <c r="L9">
        <v>139.02650451660099</v>
      </c>
      <c r="M9">
        <v>140</v>
      </c>
      <c r="N9">
        <v>137.01400756835901</v>
      </c>
      <c r="O9">
        <v>139.399002075195</v>
      </c>
      <c r="P9">
        <v>139.399002075195</v>
      </c>
      <c r="Q9">
        <v>54284000</v>
      </c>
      <c r="R9">
        <v>0.1</v>
      </c>
      <c r="S9">
        <v>1.42238950255491E-3</v>
      </c>
      <c r="T9">
        <v>2.5576582713568899E-2</v>
      </c>
      <c r="U9">
        <v>137.751950073242</v>
      </c>
      <c r="V9">
        <v>301.25</v>
      </c>
      <c r="W9">
        <v>305.55999755859301</v>
      </c>
      <c r="X9">
        <v>299.95001220703102</v>
      </c>
      <c r="Y9">
        <v>304.55999755859301</v>
      </c>
      <c r="Z9">
        <v>298.528717041015</v>
      </c>
      <c r="AA9">
        <v>32421200</v>
      </c>
      <c r="AB9">
        <v>0.1</v>
      </c>
      <c r="AC9">
        <v>1.19952989039227E-2</v>
      </c>
      <c r="AD9">
        <v>2.0651533162745699E-2</v>
      </c>
      <c r="AE9">
        <v>305.07100219726499</v>
      </c>
      <c r="AF9">
        <v>171.02000427246</v>
      </c>
      <c r="AG9">
        <v>172.05000305175699</v>
      </c>
      <c r="AH9">
        <v>170.47999572753901</v>
      </c>
      <c r="AI9">
        <v>171.509994506835</v>
      </c>
      <c r="AJ9">
        <v>160.97505187988199</v>
      </c>
      <c r="AK9">
        <v>6296100</v>
      </c>
      <c r="AL9">
        <v>0.1</v>
      </c>
      <c r="AM9">
        <v>2.6306381074747598E-3</v>
      </c>
      <c r="AN9">
        <v>9.7269522755004997E-3</v>
      </c>
      <c r="AO9">
        <v>171.365998840332</v>
      </c>
      <c r="AP9">
        <v>61.830001831054602</v>
      </c>
      <c r="AQ9">
        <v>62.330001831054602</v>
      </c>
      <c r="AR9">
        <v>61.740001678466797</v>
      </c>
      <c r="AS9">
        <v>62</v>
      </c>
      <c r="AT9">
        <v>57.913444519042898</v>
      </c>
      <c r="AU9">
        <v>18771700</v>
      </c>
      <c r="AV9">
        <v>0.1</v>
      </c>
      <c r="AW9">
        <v>6.4935314251177703E-3</v>
      </c>
      <c r="AX9">
        <v>7.7428983944218396E-3</v>
      </c>
      <c r="AY9">
        <v>60.900999832153303</v>
      </c>
      <c r="AZ9">
        <v>0.270000010728836</v>
      </c>
      <c r="BA9">
        <v>0.27500000596046398</v>
      </c>
      <c r="BB9">
        <v>0.26499998569488498</v>
      </c>
      <c r="BC9">
        <v>0.27500000596046398</v>
      </c>
      <c r="BD9">
        <v>0.27500000596046398</v>
      </c>
      <c r="BE9">
        <v>0</v>
      </c>
      <c r="BF9">
        <v>0.5</v>
      </c>
      <c r="BG9">
        <v>0.35467987129800599</v>
      </c>
      <c r="BH9">
        <v>0.135548387793957</v>
      </c>
      <c r="BI9">
        <v>0.199099999666214</v>
      </c>
      <c r="BJ9">
        <f t="shared" si="0"/>
        <v>0.18144079399406818</v>
      </c>
      <c r="BL9" t="s">
        <v>175</v>
      </c>
    </row>
    <row r="10" spans="1:66">
      <c r="A10" s="2">
        <v>44601</v>
      </c>
      <c r="B10">
        <v>176.05000305175699</v>
      </c>
      <c r="C10">
        <v>176.64999389648401</v>
      </c>
      <c r="D10">
        <v>174.89999389648401</v>
      </c>
      <c r="E10">
        <v>176.27999877929599</v>
      </c>
      <c r="F10">
        <v>174.28828430175699</v>
      </c>
      <c r="G10">
        <v>71285000</v>
      </c>
      <c r="H10">
        <v>0.1</v>
      </c>
      <c r="I10">
        <v>8.2937535494815792E-3</v>
      </c>
      <c r="J10">
        <v>2.0440409039958401E-2</v>
      </c>
      <c r="K10">
        <v>172.28399963378899</v>
      </c>
      <c r="L10">
        <v>140.96350097656199</v>
      </c>
      <c r="M10">
        <v>142.52450561523401</v>
      </c>
      <c r="N10">
        <v>140.18699645996</v>
      </c>
      <c r="O10">
        <v>141.59199523925699</v>
      </c>
      <c r="P10">
        <v>141.59199523925699</v>
      </c>
      <c r="Q10">
        <v>40144000</v>
      </c>
      <c r="R10">
        <v>0.1</v>
      </c>
      <c r="S10">
        <v>1.5731770898040801E-2</v>
      </c>
      <c r="T10">
        <v>2.5757007978893E-2</v>
      </c>
      <c r="U10">
        <v>138.98784942626901</v>
      </c>
      <c r="V10">
        <v>309.86999511718699</v>
      </c>
      <c r="W10">
        <v>311.92999267578102</v>
      </c>
      <c r="X10">
        <v>307.39001464843699</v>
      </c>
      <c r="Y10">
        <v>311.20999145507801</v>
      </c>
      <c r="Z10">
        <v>305.04708862304602</v>
      </c>
      <c r="AA10">
        <v>31284700</v>
      </c>
      <c r="AB10">
        <v>0.1</v>
      </c>
      <c r="AC10">
        <v>2.1834758175045502E-2</v>
      </c>
      <c r="AD10">
        <v>2.1286407472879E-2</v>
      </c>
      <c r="AE10">
        <v>306.52100219726498</v>
      </c>
      <c r="AF10">
        <v>172.07000732421801</v>
      </c>
      <c r="AG10">
        <v>172.24000549316401</v>
      </c>
      <c r="AH10">
        <v>171.25</v>
      </c>
      <c r="AI10">
        <v>171.49000549316401</v>
      </c>
      <c r="AJ10">
        <v>160.956283569335</v>
      </c>
      <c r="AK10">
        <v>5387500</v>
      </c>
      <c r="AL10">
        <v>0.1</v>
      </c>
      <c r="AM10">
        <v>-1.16547223556029E-4</v>
      </c>
      <c r="AN10">
        <v>9.4251736792120098E-3</v>
      </c>
      <c r="AO10">
        <v>171.676998901367</v>
      </c>
      <c r="AP10">
        <v>62.169998168945298</v>
      </c>
      <c r="AQ10">
        <v>62.319999694824197</v>
      </c>
      <c r="AR10">
        <v>60.900001525878899</v>
      </c>
      <c r="AS10">
        <v>61.040000915527301</v>
      </c>
      <c r="AT10">
        <v>57.016716003417898</v>
      </c>
      <c r="AU10">
        <v>23595600</v>
      </c>
      <c r="AV10">
        <v>0.1</v>
      </c>
      <c r="AW10">
        <v>-1.54838562011718E-2</v>
      </c>
      <c r="AX10">
        <v>8.6075801782513409E-3</v>
      </c>
      <c r="AY10">
        <v>61.045000076293903</v>
      </c>
      <c r="AZ10">
        <v>0.270000010728836</v>
      </c>
      <c r="BA10">
        <v>0.27500000596046398</v>
      </c>
      <c r="BB10">
        <v>0.26800000667571999</v>
      </c>
      <c r="BC10">
        <v>0.270000010728836</v>
      </c>
      <c r="BD10">
        <v>0.270000010728836</v>
      </c>
      <c r="BE10">
        <v>0</v>
      </c>
      <c r="BF10">
        <v>0.5</v>
      </c>
      <c r="BG10">
        <v>-1.81818004482052E-2</v>
      </c>
      <c r="BH10">
        <v>0.12357749455688399</v>
      </c>
      <c r="BI10">
        <v>0.208300000429153</v>
      </c>
      <c r="BJ10">
        <f t="shared" si="0"/>
        <v>-6.0649123043185925E-3</v>
      </c>
    </row>
    <row r="11" spans="1:66">
      <c r="A11" s="2">
        <v>44602</v>
      </c>
      <c r="B11">
        <v>174.13999938964801</v>
      </c>
      <c r="C11">
        <v>175.47999572753901</v>
      </c>
      <c r="D11">
        <v>171.55000305175699</v>
      </c>
      <c r="E11">
        <v>172.11999511718699</v>
      </c>
      <c r="F11">
        <v>170.17527770996</v>
      </c>
      <c r="G11">
        <v>90865900</v>
      </c>
      <c r="H11">
        <v>0.1</v>
      </c>
      <c r="I11">
        <v>-2.3598840996803601E-2</v>
      </c>
      <c r="J11">
        <v>2.1129238076200599E-2</v>
      </c>
      <c r="K11">
        <v>173.57399902343701</v>
      </c>
      <c r="L11">
        <v>139.70350646972599</v>
      </c>
      <c r="M11">
        <v>141.48449707031199</v>
      </c>
      <c r="N11">
        <v>137.95700073242099</v>
      </c>
      <c r="O11">
        <v>138.61999511718699</v>
      </c>
      <c r="P11">
        <v>138.61999511718699</v>
      </c>
      <c r="Q11">
        <v>39330000</v>
      </c>
      <c r="R11">
        <v>0.1</v>
      </c>
      <c r="S11">
        <v>-2.0989888002131099E-2</v>
      </c>
      <c r="T11">
        <v>2.6064661201072901E-2</v>
      </c>
      <c r="U11">
        <v>139.949348449707</v>
      </c>
      <c r="V11">
        <v>304.04000854492102</v>
      </c>
      <c r="W11">
        <v>309.11999511718699</v>
      </c>
      <c r="X11">
        <v>300.70001220703102</v>
      </c>
      <c r="Y11">
        <v>302.38000488281199</v>
      </c>
      <c r="Z11">
        <v>296.39187622070301</v>
      </c>
      <c r="AA11">
        <v>45386200</v>
      </c>
      <c r="AB11">
        <v>0.1</v>
      </c>
      <c r="AC11">
        <v>-2.8373081889114599E-2</v>
      </c>
      <c r="AD11">
        <v>2.2004570141022001E-2</v>
      </c>
      <c r="AE11">
        <v>306.77500305175698</v>
      </c>
      <c r="AF11">
        <v>171.21000671386699</v>
      </c>
      <c r="AG11">
        <v>171.22000122070301</v>
      </c>
      <c r="AH11">
        <v>169.30000305175699</v>
      </c>
      <c r="AI11">
        <v>169.419998168945</v>
      </c>
      <c r="AJ11">
        <v>159.013427734375</v>
      </c>
      <c r="AK11">
        <v>10355300</v>
      </c>
      <c r="AL11">
        <v>0.1</v>
      </c>
      <c r="AM11">
        <v>-1.20707169975644E-2</v>
      </c>
      <c r="AN11">
        <v>9.6273330274474992E-3</v>
      </c>
      <c r="AO11">
        <v>171.559999084472</v>
      </c>
      <c r="AP11">
        <v>60.360000610351499</v>
      </c>
      <c r="AQ11">
        <v>62.299999237060497</v>
      </c>
      <c r="AR11">
        <v>60.200000762939403</v>
      </c>
      <c r="AS11">
        <v>61.380001068115199</v>
      </c>
      <c r="AT11">
        <v>57.334312438964801</v>
      </c>
      <c r="AU11">
        <v>23561500</v>
      </c>
      <c r="AV11">
        <v>0.1</v>
      </c>
      <c r="AW11">
        <v>5.5701203716955697E-3</v>
      </c>
      <c r="AX11">
        <v>8.6798109948958892E-3</v>
      </c>
      <c r="AY11">
        <v>61.218000030517501</v>
      </c>
      <c r="AZ11">
        <v>0.259999990463256</v>
      </c>
      <c r="BA11">
        <v>0.37000000476837103</v>
      </c>
      <c r="BB11">
        <v>0.25499999523162797</v>
      </c>
      <c r="BC11">
        <v>0.37000000476837103</v>
      </c>
      <c r="BD11">
        <v>0.37000000476837103</v>
      </c>
      <c r="BE11">
        <v>0</v>
      </c>
      <c r="BF11">
        <v>0.5</v>
      </c>
      <c r="BG11">
        <v>0.37037033357738097</v>
      </c>
      <c r="BH11">
        <v>0.14147132071086299</v>
      </c>
      <c r="BI11">
        <v>0.226800000667572</v>
      </c>
      <c r="BJ11">
        <f t="shared" si="0"/>
        <v>0.17723892603729868</v>
      </c>
    </row>
    <row r="12" spans="1:66">
      <c r="A12" s="2">
        <v>44603</v>
      </c>
      <c r="B12">
        <v>172.33000183105401</v>
      </c>
      <c r="C12">
        <v>173.08000183105401</v>
      </c>
      <c r="D12">
        <v>168.03999328613199</v>
      </c>
      <c r="E12">
        <v>168.63999938964801</v>
      </c>
      <c r="F12">
        <v>166.73458862304599</v>
      </c>
      <c r="G12">
        <v>98670700</v>
      </c>
      <c r="H12">
        <v>0.1</v>
      </c>
      <c r="I12">
        <v>-2.0218427993619802E-2</v>
      </c>
      <c r="J12">
        <v>2.1184967840746499E-2</v>
      </c>
      <c r="K12">
        <v>173.40499877929599</v>
      </c>
      <c r="L12">
        <v>138.600006103515</v>
      </c>
      <c r="M12">
        <v>139.156494140625</v>
      </c>
      <c r="N12">
        <v>133.39999389648401</v>
      </c>
      <c r="O12">
        <v>134.28250122070301</v>
      </c>
      <c r="P12">
        <v>134.28250122070301</v>
      </c>
      <c r="Q12">
        <v>39958000</v>
      </c>
      <c r="R12">
        <v>0.1</v>
      </c>
      <c r="S12">
        <v>-3.12905356317284E-2</v>
      </c>
      <c r="T12">
        <v>2.6617405634217099E-2</v>
      </c>
      <c r="U12">
        <v>140.04249877929601</v>
      </c>
      <c r="V12">
        <v>303.19000244140602</v>
      </c>
      <c r="W12">
        <v>304.29000854492102</v>
      </c>
      <c r="X12">
        <v>294.22000122070301</v>
      </c>
      <c r="Y12">
        <v>295.04000854492102</v>
      </c>
      <c r="Z12">
        <v>289.19723510742102</v>
      </c>
      <c r="AA12">
        <v>39175600</v>
      </c>
      <c r="AB12">
        <v>0.1</v>
      </c>
      <c r="AC12">
        <v>-2.4274079698937901E-2</v>
      </c>
      <c r="AD12">
        <v>2.0603422696030702E-2</v>
      </c>
      <c r="AE12">
        <v>305.45300292968699</v>
      </c>
      <c r="AF12">
        <v>169.11999511718699</v>
      </c>
      <c r="AG12">
        <v>170.14999389648401</v>
      </c>
      <c r="AH12">
        <v>167.53999328613199</v>
      </c>
      <c r="AI12">
        <v>167.71000671386699</v>
      </c>
      <c r="AJ12">
        <v>157.408447265625</v>
      </c>
      <c r="AK12">
        <v>13125300</v>
      </c>
      <c r="AL12">
        <v>0.1</v>
      </c>
      <c r="AM12">
        <v>-1.00932090282099E-2</v>
      </c>
      <c r="AN12">
        <v>9.8000011725627306E-3</v>
      </c>
      <c r="AO12">
        <v>171.15200042724601</v>
      </c>
      <c r="AP12">
        <v>61.770000457763601</v>
      </c>
      <c r="AQ12">
        <v>61.9799995422363</v>
      </c>
      <c r="AR12">
        <v>60.150001525878899</v>
      </c>
      <c r="AS12">
        <v>60.290000915527301</v>
      </c>
      <c r="AT12">
        <v>56.316150665283203</v>
      </c>
      <c r="AU12">
        <v>22781400</v>
      </c>
      <c r="AV12">
        <v>0.1</v>
      </c>
      <c r="AW12">
        <v>-1.7758229612578301E-2</v>
      </c>
      <c r="AX12">
        <v>9.5081992002635299E-3</v>
      </c>
      <c r="AY12">
        <v>61.163000106811502</v>
      </c>
      <c r="AZ12">
        <v>0.37299999594688399</v>
      </c>
      <c r="BA12">
        <v>0.38299998641014099</v>
      </c>
      <c r="BB12">
        <v>0.31799998879432601</v>
      </c>
      <c r="BC12">
        <v>0.33799999952316201</v>
      </c>
      <c r="BD12">
        <v>0.33799999952316201</v>
      </c>
      <c r="BE12">
        <v>0</v>
      </c>
      <c r="BF12">
        <v>0.5</v>
      </c>
      <c r="BG12">
        <v>-8.6486499548132298E-2</v>
      </c>
      <c r="BH12">
        <v>0.143574743320873</v>
      </c>
      <c r="BI12">
        <v>0.24330000132322299</v>
      </c>
      <c r="BJ12">
        <f t="shared" si="0"/>
        <v>-5.3606697970573582E-2</v>
      </c>
    </row>
    <row r="13" spans="1:66">
      <c r="A13" s="2">
        <v>44606</v>
      </c>
      <c r="B13">
        <v>167.36999511718699</v>
      </c>
      <c r="C13">
        <v>169.58000183105401</v>
      </c>
      <c r="D13">
        <v>166.55999755859301</v>
      </c>
      <c r="E13">
        <v>168.88000488281199</v>
      </c>
      <c r="F13">
        <v>166.97187805175699</v>
      </c>
      <c r="G13">
        <v>86185500</v>
      </c>
      <c r="H13">
        <v>0.1</v>
      </c>
      <c r="I13">
        <v>1.42318248359041E-3</v>
      </c>
      <c r="J13">
        <v>2.1146527817938E-2</v>
      </c>
      <c r="K13">
        <v>172.81499938964799</v>
      </c>
      <c r="L13">
        <v>133.25650024414</v>
      </c>
      <c r="M13">
        <v>136.30000305175699</v>
      </c>
      <c r="N13">
        <v>133.25650024414</v>
      </c>
      <c r="O13">
        <v>135.52600097656199</v>
      </c>
      <c r="P13">
        <v>135.52600097656199</v>
      </c>
      <c r="Q13">
        <v>34302000</v>
      </c>
      <c r="R13">
        <v>0.1</v>
      </c>
      <c r="S13">
        <v>9.2603261374732907E-3</v>
      </c>
      <c r="T13">
        <v>2.66675813157424E-2</v>
      </c>
      <c r="U13">
        <v>140.06474914550699</v>
      </c>
      <c r="V13">
        <v>293.76998901367102</v>
      </c>
      <c r="W13">
        <v>296.760009765625</v>
      </c>
      <c r="X13">
        <v>291.350006103515</v>
      </c>
      <c r="Y13">
        <v>295</v>
      </c>
      <c r="Z13">
        <v>289.15808105468699</v>
      </c>
      <c r="AA13">
        <v>36359500</v>
      </c>
      <c r="AB13">
        <v>0.1</v>
      </c>
      <c r="AC13">
        <v>-1.3560379529264899E-4</v>
      </c>
      <c r="AD13">
        <v>2.0111405064076399E-2</v>
      </c>
      <c r="AE13">
        <v>303.85500183105398</v>
      </c>
      <c r="AF13">
        <v>167.71000671386699</v>
      </c>
      <c r="AG13">
        <v>167.97000122070301</v>
      </c>
      <c r="AH13">
        <v>163.80999755859301</v>
      </c>
      <c r="AI13">
        <v>165.600006103515</v>
      </c>
      <c r="AJ13">
        <v>155.42807006835901</v>
      </c>
      <c r="AK13">
        <v>8967600</v>
      </c>
      <c r="AL13">
        <v>0.1</v>
      </c>
      <c r="AM13">
        <v>-1.25812445643238E-2</v>
      </c>
      <c r="AN13">
        <v>1.01228861907195E-2</v>
      </c>
      <c r="AO13">
        <v>170.48300170898401</v>
      </c>
      <c r="AP13">
        <v>60.159999847412102</v>
      </c>
      <c r="AQ13">
        <v>60.790000915527301</v>
      </c>
      <c r="AR13">
        <v>59.279998779296797</v>
      </c>
      <c r="AS13">
        <v>60.680000305175703</v>
      </c>
      <c r="AT13">
        <v>56.680450439453097</v>
      </c>
      <c r="AU13">
        <v>23641300</v>
      </c>
      <c r="AV13">
        <v>0.1</v>
      </c>
      <c r="AW13">
        <v>6.4687242283321096E-3</v>
      </c>
      <c r="AX13">
        <v>9.4402333064169102E-3</v>
      </c>
      <c r="AY13">
        <v>61.130000305175699</v>
      </c>
      <c r="AZ13">
        <v>0.354999989271163</v>
      </c>
      <c r="BA13">
        <v>0.38800001144409102</v>
      </c>
      <c r="BB13">
        <v>0.34999999403953502</v>
      </c>
      <c r="BC13">
        <v>0.36000001430511402</v>
      </c>
      <c r="BD13">
        <v>0.36000001430511402</v>
      </c>
      <c r="BE13">
        <v>0</v>
      </c>
      <c r="BF13">
        <v>0.5</v>
      </c>
      <c r="BG13">
        <v>6.5088801221860004E-2</v>
      </c>
      <c r="BH13">
        <v>0.14356713170742499</v>
      </c>
      <c r="BI13">
        <v>0.26200000345706898</v>
      </c>
      <c r="BJ13">
        <f t="shared" si="0"/>
        <v>3.2987939059907948E-2</v>
      </c>
    </row>
    <row r="14" spans="1:66">
      <c r="A14" s="2">
        <v>44607</v>
      </c>
      <c r="B14">
        <v>170.97000122070301</v>
      </c>
      <c r="C14">
        <v>172.94999694824199</v>
      </c>
      <c r="D14">
        <v>170.25</v>
      </c>
      <c r="E14">
        <v>172.78999328613199</v>
      </c>
      <c r="F14">
        <v>170.83770751953099</v>
      </c>
      <c r="G14">
        <v>62527400</v>
      </c>
      <c r="H14">
        <v>0.1</v>
      </c>
      <c r="I14">
        <v>2.3152465006342798E-2</v>
      </c>
      <c r="J14">
        <v>2.1364692657742899E-2</v>
      </c>
      <c r="K14">
        <v>172.63299865722601</v>
      </c>
      <c r="L14">
        <v>137.57049560546801</v>
      </c>
      <c r="M14">
        <v>138.10850524902301</v>
      </c>
      <c r="N14">
        <v>135.82150268554599</v>
      </c>
      <c r="O14">
        <v>136.60850524902301</v>
      </c>
      <c r="P14">
        <v>136.60850524902301</v>
      </c>
      <c r="Q14">
        <v>26680000</v>
      </c>
      <c r="R14">
        <v>0.1</v>
      </c>
      <c r="S14">
        <v>7.9874287196606206E-3</v>
      </c>
      <c r="T14">
        <v>2.6128187527982301E-2</v>
      </c>
      <c r="U14">
        <v>139.96119995117101</v>
      </c>
      <c r="V14">
        <v>300.010009765625</v>
      </c>
      <c r="W14">
        <v>300.79998779296801</v>
      </c>
      <c r="X14">
        <v>297.01998901367102</v>
      </c>
      <c r="Y14">
        <v>300.47000122070301</v>
      </c>
      <c r="Z14">
        <v>294.51974487304602</v>
      </c>
      <c r="AA14">
        <v>27058300</v>
      </c>
      <c r="AB14">
        <v>0.1</v>
      </c>
      <c r="AC14">
        <v>1.8542377019332701E-2</v>
      </c>
      <c r="AD14">
        <v>1.99248739787007E-2</v>
      </c>
      <c r="AE14">
        <v>303.02600097656199</v>
      </c>
      <c r="AF14">
        <v>166.13000488281199</v>
      </c>
      <c r="AG14">
        <v>168.100006103515</v>
      </c>
      <c r="AH14">
        <v>166.009994506835</v>
      </c>
      <c r="AI14">
        <v>167.30999755859301</v>
      </c>
      <c r="AJ14">
        <v>157.03303527832</v>
      </c>
      <c r="AK14">
        <v>6631400</v>
      </c>
      <c r="AL14">
        <v>0.1</v>
      </c>
      <c r="AM14">
        <v>1.03260349761655E-2</v>
      </c>
      <c r="AN14">
        <v>1.0366147255530899E-2</v>
      </c>
      <c r="AO14">
        <v>170.12600097656201</v>
      </c>
      <c r="AP14">
        <v>60.959999084472599</v>
      </c>
      <c r="AQ14">
        <v>61.779998779296797</v>
      </c>
      <c r="AR14">
        <v>60.630001068115199</v>
      </c>
      <c r="AS14">
        <v>60.909999847412102</v>
      </c>
      <c r="AT14">
        <v>56.8952827453613</v>
      </c>
      <c r="AU14">
        <v>13408700</v>
      </c>
      <c r="AV14">
        <v>0.1</v>
      </c>
      <c r="AW14">
        <v>3.7903681786355301E-3</v>
      </c>
      <c r="AX14">
        <v>9.3179670333816706E-3</v>
      </c>
      <c r="AY14">
        <v>61.165000152587801</v>
      </c>
      <c r="AZ14">
        <v>0.41499999165534901</v>
      </c>
      <c r="BA14">
        <v>0.41999998688697798</v>
      </c>
      <c r="BB14">
        <v>0.39800000190734802</v>
      </c>
      <c r="BC14">
        <v>0.40000000596046398</v>
      </c>
      <c r="BD14">
        <v>0.40000000596046398</v>
      </c>
      <c r="BE14">
        <v>0</v>
      </c>
      <c r="BF14">
        <v>0.5</v>
      </c>
      <c r="BG14">
        <v>0.111111083516369</v>
      </c>
      <c r="BH14">
        <v>0.14370572633800199</v>
      </c>
      <c r="BI14">
        <v>0.28170000463724099</v>
      </c>
      <c r="BJ14">
        <f t="shared" si="0"/>
        <v>6.1935409148198214E-2</v>
      </c>
    </row>
    <row r="15" spans="1:66">
      <c r="A15" s="2">
        <v>44608</v>
      </c>
      <c r="B15">
        <v>171.850006103515</v>
      </c>
      <c r="C15">
        <v>173.33999633789</v>
      </c>
      <c r="D15">
        <v>170.05000305175699</v>
      </c>
      <c r="E15">
        <v>172.55000305175699</v>
      </c>
      <c r="F15">
        <v>170.60043334960901</v>
      </c>
      <c r="G15">
        <v>61177400</v>
      </c>
      <c r="H15">
        <v>0.1</v>
      </c>
      <c r="I15">
        <v>-1.3889128057177299E-3</v>
      </c>
      <c r="J15">
        <v>2.0737147476852801E-2</v>
      </c>
      <c r="K15">
        <v>172.303999328613</v>
      </c>
      <c r="L15">
        <v>136.64649963378901</v>
      </c>
      <c r="M15">
        <v>138.08599853515599</v>
      </c>
      <c r="N15">
        <v>134.92399597167901</v>
      </c>
      <c r="O15">
        <v>137.73800659179599</v>
      </c>
      <c r="P15">
        <v>137.73800659179599</v>
      </c>
      <c r="Q15">
        <v>25022000</v>
      </c>
      <c r="R15">
        <v>0.1</v>
      </c>
      <c r="S15">
        <v>8.26816266464858E-3</v>
      </c>
      <c r="T15">
        <v>2.61276347751731E-2</v>
      </c>
      <c r="U15">
        <v>138.93500061035101</v>
      </c>
      <c r="V15">
        <v>298.36999511718699</v>
      </c>
      <c r="W15">
        <v>300.86999511718699</v>
      </c>
      <c r="X15">
        <v>293.67999267578102</v>
      </c>
      <c r="Y15">
        <v>299.5</v>
      </c>
      <c r="Z15">
        <v>294.17596435546801</v>
      </c>
      <c r="AA15">
        <v>29982100</v>
      </c>
      <c r="AB15">
        <v>0.1</v>
      </c>
      <c r="AC15">
        <v>-3.22827975093142E-3</v>
      </c>
      <c r="AD15">
        <v>1.9927505414045098E-2</v>
      </c>
      <c r="AE15">
        <v>301.63000183105402</v>
      </c>
      <c r="AF15">
        <v>166.49000549316401</v>
      </c>
      <c r="AG15">
        <v>167.83999633789</v>
      </c>
      <c r="AH15">
        <v>165.71000671386699</v>
      </c>
      <c r="AI15">
        <v>167.21000671386699</v>
      </c>
      <c r="AJ15">
        <v>156.93917846679599</v>
      </c>
      <c r="AK15">
        <v>8482400</v>
      </c>
      <c r="AL15">
        <v>0.1</v>
      </c>
      <c r="AM15">
        <v>-5.9763819368618899E-4</v>
      </c>
      <c r="AN15">
        <v>1.03401856517614E-2</v>
      </c>
      <c r="AO15">
        <v>169.57000122070301</v>
      </c>
      <c r="AP15">
        <v>60.860000610351499</v>
      </c>
      <c r="AQ15">
        <v>61.400001525878899</v>
      </c>
      <c r="AR15">
        <v>60.560001373291001</v>
      </c>
      <c r="AS15">
        <v>60.900001525878899</v>
      </c>
      <c r="AT15">
        <v>56.885944366455</v>
      </c>
      <c r="AU15">
        <v>15484700</v>
      </c>
      <c r="AV15">
        <v>0.1</v>
      </c>
      <c r="AW15">
        <v>-1.64149097984789E-4</v>
      </c>
      <c r="AX15">
        <v>9.3104694547171893E-3</v>
      </c>
      <c r="AY15">
        <v>61.137000274658199</v>
      </c>
      <c r="AZ15">
        <v>0.40500000119209201</v>
      </c>
      <c r="BA15">
        <v>0.40999999642372098</v>
      </c>
      <c r="BB15">
        <v>0.34999999403953502</v>
      </c>
      <c r="BC15">
        <v>0.37299999594688399</v>
      </c>
      <c r="BD15">
        <v>0.37299999594688399</v>
      </c>
      <c r="BE15">
        <v>0</v>
      </c>
      <c r="BF15">
        <v>0.5</v>
      </c>
      <c r="BG15">
        <v>-6.7500024028121997E-2</v>
      </c>
      <c r="BH15">
        <v>0.13832489428577199</v>
      </c>
      <c r="BI15">
        <v>0.30050000399351101</v>
      </c>
      <c r="BJ15">
        <f t="shared" si="0"/>
        <v>-3.3461093732428157E-2</v>
      </c>
    </row>
    <row r="16" spans="1:66">
      <c r="A16" s="2">
        <v>44609</v>
      </c>
      <c r="B16">
        <v>171.02999877929599</v>
      </c>
      <c r="C16">
        <v>171.91000366210901</v>
      </c>
      <c r="D16">
        <v>168.47000122070301</v>
      </c>
      <c r="E16">
        <v>168.88000488281199</v>
      </c>
      <c r="F16">
        <v>166.97187805175699</v>
      </c>
      <c r="G16">
        <v>69589300</v>
      </c>
      <c r="H16">
        <v>0.1</v>
      </c>
      <c r="I16">
        <v>-2.1269186346200501E-2</v>
      </c>
      <c r="J16">
        <v>2.12194694697347E-2</v>
      </c>
      <c r="K16">
        <v>171.90200042724601</v>
      </c>
      <c r="L16">
        <v>136.24299621582</v>
      </c>
      <c r="M16">
        <v>137.11349487304599</v>
      </c>
      <c r="N16">
        <v>132.47850036621</v>
      </c>
      <c r="O16">
        <v>132.53900146484301</v>
      </c>
      <c r="P16">
        <v>132.53900146484301</v>
      </c>
      <c r="Q16">
        <v>38950000</v>
      </c>
      <c r="R16">
        <v>0.1</v>
      </c>
      <c r="S16">
        <v>-3.77456103482098E-2</v>
      </c>
      <c r="T16">
        <v>2.7384793042823301E-2</v>
      </c>
      <c r="U16">
        <v>137.87990112304601</v>
      </c>
      <c r="V16">
        <v>296.35998535156199</v>
      </c>
      <c r="W16">
        <v>296.79998779296801</v>
      </c>
      <c r="X16">
        <v>290</v>
      </c>
      <c r="Y16">
        <v>290.73001098632801</v>
      </c>
      <c r="Z16">
        <v>285.56188964843699</v>
      </c>
      <c r="AA16">
        <v>32461600</v>
      </c>
      <c r="AB16">
        <v>0.1</v>
      </c>
      <c r="AC16">
        <v>-2.9282100212593899E-2</v>
      </c>
      <c r="AD16">
        <v>2.0927322434049E-2</v>
      </c>
      <c r="AE16">
        <v>300.57800292968699</v>
      </c>
      <c r="AF16">
        <v>167.21000671386699</v>
      </c>
      <c r="AG16">
        <v>167.44999694824199</v>
      </c>
      <c r="AH16">
        <v>164.919998168945</v>
      </c>
      <c r="AI16">
        <v>166.19000244140599</v>
      </c>
      <c r="AJ16">
        <v>155.98182678222599</v>
      </c>
      <c r="AK16">
        <v>6227600</v>
      </c>
      <c r="AL16">
        <v>0.1</v>
      </c>
      <c r="AM16">
        <v>-6.1001389361008398E-3</v>
      </c>
      <c r="AN16">
        <v>1.02696674404021E-2</v>
      </c>
      <c r="AO16">
        <v>168.91300201416001</v>
      </c>
      <c r="AP16">
        <v>60.549999237060497</v>
      </c>
      <c r="AQ16">
        <v>62.279998779296797</v>
      </c>
      <c r="AR16">
        <v>60.409999847412102</v>
      </c>
      <c r="AS16">
        <v>62.119998931884702</v>
      </c>
      <c r="AT16">
        <v>58.025535583496001</v>
      </c>
      <c r="AU16">
        <v>21468700</v>
      </c>
      <c r="AV16">
        <v>0.1</v>
      </c>
      <c r="AW16">
        <v>2.00327976262435E-2</v>
      </c>
      <c r="AX16">
        <v>1.02710223829184E-2</v>
      </c>
      <c r="AY16">
        <v>61.188000106811501</v>
      </c>
      <c r="AZ16">
        <v>0.36000001430511402</v>
      </c>
      <c r="BA16">
        <v>0.36000001430511402</v>
      </c>
      <c r="BB16">
        <v>0.33000001311302102</v>
      </c>
      <c r="BC16">
        <v>0.34499999880790699</v>
      </c>
      <c r="BD16">
        <v>0.34499999880790699</v>
      </c>
      <c r="BE16">
        <v>0</v>
      </c>
      <c r="BF16">
        <v>0.5</v>
      </c>
      <c r="BG16">
        <v>-7.5067017274081299E-2</v>
      </c>
      <c r="BH16">
        <v>0.14098673254071301</v>
      </c>
      <c r="BI16">
        <v>0.31570000350475302</v>
      </c>
      <c r="BJ16">
        <f t="shared" si="0"/>
        <v>-4.4969932458726804E-2</v>
      </c>
    </row>
    <row r="17" spans="1:62">
      <c r="A17" s="2">
        <v>44610</v>
      </c>
      <c r="B17">
        <v>169.82000732421801</v>
      </c>
      <c r="C17">
        <v>170.53999328613199</v>
      </c>
      <c r="D17">
        <v>166.19000244140599</v>
      </c>
      <c r="E17">
        <v>167.30000305175699</v>
      </c>
      <c r="F17">
        <v>165.40972900390599</v>
      </c>
      <c r="G17">
        <v>82772700</v>
      </c>
      <c r="H17">
        <v>0.1</v>
      </c>
      <c r="I17">
        <v>-9.3557661379217692E-3</v>
      </c>
      <c r="J17">
        <v>2.11120871496542E-2</v>
      </c>
      <c r="K17">
        <v>171.39300079345699</v>
      </c>
      <c r="L17">
        <v>133.46699523925699</v>
      </c>
      <c r="M17">
        <v>134.07000732421801</v>
      </c>
      <c r="N17">
        <v>130.19650268554599</v>
      </c>
      <c r="O17">
        <v>130.40299987792901</v>
      </c>
      <c r="P17">
        <v>130.40299987792901</v>
      </c>
      <c r="Q17">
        <v>45620000</v>
      </c>
      <c r="R17">
        <v>0.1</v>
      </c>
      <c r="S17">
        <v>-1.6116022931413398E-2</v>
      </c>
      <c r="T17">
        <v>2.7158448073469298E-2</v>
      </c>
      <c r="U17">
        <v>136.59090118408201</v>
      </c>
      <c r="V17">
        <v>293.04998779296801</v>
      </c>
      <c r="W17">
        <v>293.85998535156199</v>
      </c>
      <c r="X17">
        <v>286.30999755859301</v>
      </c>
      <c r="Y17">
        <v>287.92999267578102</v>
      </c>
      <c r="Z17">
        <v>282.81161499023398</v>
      </c>
      <c r="AA17">
        <v>34264000</v>
      </c>
      <c r="AB17">
        <v>0.1</v>
      </c>
      <c r="AC17">
        <v>-9.6309916580250496E-3</v>
      </c>
      <c r="AD17">
        <v>2.0644349890862401E-2</v>
      </c>
      <c r="AE17">
        <v>298.77700195312502</v>
      </c>
      <c r="AF17">
        <v>164.97999572753901</v>
      </c>
      <c r="AG17">
        <v>165.36000061035099</v>
      </c>
      <c r="AH17">
        <v>162.94000244140599</v>
      </c>
      <c r="AI17">
        <v>163.36000061035099</v>
      </c>
      <c r="AJ17">
        <v>154.30989074707</v>
      </c>
      <c r="AK17">
        <v>6423200</v>
      </c>
      <c r="AL17">
        <v>0.1</v>
      </c>
      <c r="AM17">
        <v>-1.7028712855651201E-2</v>
      </c>
      <c r="AN17">
        <v>1.0972499071443501E-2</v>
      </c>
      <c r="AO17">
        <v>168.08600158691399</v>
      </c>
      <c r="AP17">
        <v>62.119998931884702</v>
      </c>
      <c r="AQ17">
        <v>62.819999694824197</v>
      </c>
      <c r="AR17">
        <v>61.990001678466797</v>
      </c>
      <c r="AS17">
        <v>62.540000915527301</v>
      </c>
      <c r="AT17">
        <v>58.417854309082003</v>
      </c>
      <c r="AU17">
        <v>21975000</v>
      </c>
      <c r="AV17">
        <v>0.1</v>
      </c>
      <c r="AW17">
        <v>6.7611395824895802E-3</v>
      </c>
      <c r="AX17">
        <v>1.02381913480177E-2</v>
      </c>
      <c r="AY17">
        <v>61.346000289916901</v>
      </c>
      <c r="AZ17">
        <v>0.32800000905990601</v>
      </c>
      <c r="BA17">
        <v>0.33500000834464999</v>
      </c>
      <c r="BB17">
        <v>0.307999998331069</v>
      </c>
      <c r="BC17">
        <v>0.31799998879432601</v>
      </c>
      <c r="BD17">
        <v>0.31799998879432601</v>
      </c>
      <c r="BE17">
        <v>0</v>
      </c>
      <c r="BF17">
        <v>0.5</v>
      </c>
      <c r="BG17">
        <v>-7.8260898860505995E-2</v>
      </c>
      <c r="BH17">
        <v>0.14177767932921501</v>
      </c>
      <c r="BI17">
        <v>0.32520000189542703</v>
      </c>
      <c r="BJ17">
        <f t="shared" si="0"/>
        <v>-4.3667484830305185E-2</v>
      </c>
    </row>
    <row r="18" spans="1:62">
      <c r="A18" s="2">
        <v>44614</v>
      </c>
      <c r="B18">
        <v>164.97999572753901</v>
      </c>
      <c r="C18">
        <v>166.69000244140599</v>
      </c>
      <c r="D18">
        <v>162.14999389648401</v>
      </c>
      <c r="E18">
        <v>164.32000732421801</v>
      </c>
      <c r="F18">
        <v>162.46342468261699</v>
      </c>
      <c r="G18">
        <v>91162800</v>
      </c>
      <c r="H18">
        <v>0.1</v>
      </c>
      <c r="I18">
        <v>-1.7812287347162399E-2</v>
      </c>
      <c r="J18">
        <v>2.1518301784708399E-2</v>
      </c>
      <c r="K18">
        <v>170.65900115966701</v>
      </c>
      <c r="L18">
        <v>129.83799743652301</v>
      </c>
      <c r="M18">
        <v>132.18049621582</v>
      </c>
      <c r="N18">
        <v>128.22349548339801</v>
      </c>
      <c r="O18">
        <v>129.81350708007801</v>
      </c>
      <c r="P18">
        <v>129.81350708007801</v>
      </c>
      <c r="Q18">
        <v>44990000</v>
      </c>
      <c r="R18">
        <v>0.1</v>
      </c>
      <c r="S18">
        <v>-4.5205462942062803E-3</v>
      </c>
      <c r="T18">
        <v>2.7169139066417301E-2</v>
      </c>
      <c r="U18">
        <v>135.65215148925699</v>
      </c>
      <c r="V18">
        <v>285</v>
      </c>
      <c r="W18">
        <v>291.54000854492102</v>
      </c>
      <c r="X18">
        <v>284.5</v>
      </c>
      <c r="Y18">
        <v>287.72000122070301</v>
      </c>
      <c r="Z18">
        <v>282.605377197265</v>
      </c>
      <c r="AA18">
        <v>41736100</v>
      </c>
      <c r="AB18">
        <v>0.1</v>
      </c>
      <c r="AC18">
        <v>-7.2931427923372805E-4</v>
      </c>
      <c r="AD18">
        <v>2.06374582604965E-2</v>
      </c>
      <c r="AE18">
        <v>297.45400085449199</v>
      </c>
      <c r="AF18">
        <v>163.57000732421801</v>
      </c>
      <c r="AG18">
        <v>163.74000549316401</v>
      </c>
      <c r="AH18">
        <v>160.44000244140599</v>
      </c>
      <c r="AI18">
        <v>161.13999938964801</v>
      </c>
      <c r="AJ18">
        <v>152.21286010742099</v>
      </c>
      <c r="AK18">
        <v>6868900</v>
      </c>
      <c r="AL18">
        <v>0.1</v>
      </c>
      <c r="AM18">
        <v>-1.3589625443246E-2</v>
      </c>
      <c r="AN18">
        <v>1.1091750510702001E-2</v>
      </c>
      <c r="AO18">
        <v>167.09400177001899</v>
      </c>
      <c r="AP18">
        <v>62.430000305175703</v>
      </c>
      <c r="AQ18">
        <v>62.639999389648402</v>
      </c>
      <c r="AR18">
        <v>61.720001220703097</v>
      </c>
      <c r="AS18">
        <v>62.279998779296797</v>
      </c>
      <c r="AT18">
        <v>58.1749877929687</v>
      </c>
      <c r="AU18">
        <v>21731400</v>
      </c>
      <c r="AV18">
        <v>0.1</v>
      </c>
      <c r="AW18">
        <v>-4.15737339981259E-3</v>
      </c>
      <c r="AX18">
        <v>1.00748881295679E-2</v>
      </c>
      <c r="AY18">
        <v>61.414000320434504</v>
      </c>
      <c r="AZ18">
        <v>0.31999999284744202</v>
      </c>
      <c r="BA18">
        <v>0.33000001311302102</v>
      </c>
      <c r="BB18">
        <v>0.307999998331069</v>
      </c>
      <c r="BC18">
        <v>0.33000001311302102</v>
      </c>
      <c r="BD18">
        <v>0.33000001311302102</v>
      </c>
      <c r="BE18">
        <v>0</v>
      </c>
      <c r="BF18">
        <v>0.5</v>
      </c>
      <c r="BG18">
        <v>3.7735926860224797E-2</v>
      </c>
      <c r="BH18">
        <v>0.141015940560556</v>
      </c>
      <c r="BI18">
        <v>0.337900003790855</v>
      </c>
      <c r="BJ18">
        <f t="shared" si="0"/>
        <v>1.47870487537463E-2</v>
      </c>
    </row>
    <row r="19" spans="1:62">
      <c r="A19" s="2">
        <v>44615</v>
      </c>
      <c r="B19">
        <v>165.53999328613199</v>
      </c>
      <c r="C19">
        <v>166.14999389648401</v>
      </c>
      <c r="D19">
        <v>159.75</v>
      </c>
      <c r="E19">
        <v>160.07000732421801</v>
      </c>
      <c r="F19">
        <v>158.26142883300699</v>
      </c>
      <c r="G19">
        <v>90009200</v>
      </c>
      <c r="H19">
        <v>0.1</v>
      </c>
      <c r="I19">
        <v>-2.5864166325250602E-2</v>
      </c>
      <c r="J19">
        <v>2.2191501561566001E-2</v>
      </c>
      <c r="K19">
        <v>169.18300170898399</v>
      </c>
      <c r="L19">
        <v>131.64849853515599</v>
      </c>
      <c r="M19">
        <v>132.05099487304599</v>
      </c>
      <c r="N19">
        <v>127.52749633789</v>
      </c>
      <c r="O19">
        <v>127.587997436523</v>
      </c>
      <c r="P19">
        <v>127.587997436523</v>
      </c>
      <c r="Q19">
        <v>32786000</v>
      </c>
      <c r="R19">
        <v>0.1</v>
      </c>
      <c r="S19">
        <v>-1.7143898917867099E-2</v>
      </c>
      <c r="T19">
        <v>2.6593639602714499E-2</v>
      </c>
      <c r="U19">
        <v>134.47105102539001</v>
      </c>
      <c r="V19">
        <v>290.17999267578102</v>
      </c>
      <c r="W19">
        <v>291.70001220703102</v>
      </c>
      <c r="X19">
        <v>280.100006103515</v>
      </c>
      <c r="Y19">
        <v>280.26998901367102</v>
      </c>
      <c r="Z19">
        <v>275.28781127929602</v>
      </c>
      <c r="AA19">
        <v>37811200</v>
      </c>
      <c r="AB19">
        <v>0.1</v>
      </c>
      <c r="AC19">
        <v>-2.5893271845625E-2</v>
      </c>
      <c r="AD19">
        <v>2.05931235641508E-2</v>
      </c>
      <c r="AE19">
        <v>295.02499999999998</v>
      </c>
      <c r="AF19">
        <v>161.509994506835</v>
      </c>
      <c r="AG19">
        <v>162.63999938964801</v>
      </c>
      <c r="AH19">
        <v>160.850006103515</v>
      </c>
      <c r="AI19">
        <v>161.22000122070301</v>
      </c>
      <c r="AJ19">
        <v>152.28843688964801</v>
      </c>
      <c r="AK19">
        <v>8016900</v>
      </c>
      <c r="AL19">
        <v>0.1</v>
      </c>
      <c r="AM19">
        <v>4.9647406824937501E-4</v>
      </c>
      <c r="AN19">
        <v>8.7425187753635697E-3</v>
      </c>
      <c r="AO19">
        <v>166.06500244140599</v>
      </c>
      <c r="AP19">
        <v>62.240001678466797</v>
      </c>
      <c r="AQ19">
        <v>62.330001831054602</v>
      </c>
      <c r="AR19">
        <v>61.340000152587798</v>
      </c>
      <c r="AS19">
        <v>61.590000152587798</v>
      </c>
      <c r="AT19">
        <v>57.530467987060497</v>
      </c>
      <c r="AU19">
        <v>19248500</v>
      </c>
      <c r="AV19">
        <v>0.1</v>
      </c>
      <c r="AW19">
        <v>-1.1078976240095101E-2</v>
      </c>
      <c r="AX19">
        <v>1.0453158723344E-2</v>
      </c>
      <c r="AY19">
        <v>61.373000335693298</v>
      </c>
      <c r="AZ19">
        <v>0.365000009536743</v>
      </c>
      <c r="BA19">
        <v>0.365000009536743</v>
      </c>
      <c r="BB19">
        <v>0.31799998879432601</v>
      </c>
      <c r="BC19">
        <v>0.34000000357627802</v>
      </c>
      <c r="BD19">
        <v>0.34000000357627802</v>
      </c>
      <c r="BE19">
        <v>0</v>
      </c>
      <c r="BF19">
        <v>0.5</v>
      </c>
      <c r="BG19">
        <v>3.0303000199675498E-2</v>
      </c>
      <c r="BH19">
        <v>0.13673867974428799</v>
      </c>
      <c r="BI19">
        <v>0.344400003552436</v>
      </c>
      <c r="BJ19">
        <f t="shared" si="0"/>
        <v>7.2031161737789061E-3</v>
      </c>
    </row>
    <row r="20" spans="1:62">
      <c r="A20" s="2">
        <v>44616</v>
      </c>
      <c r="B20">
        <v>152.58000183105401</v>
      </c>
      <c r="C20">
        <v>162.850006103515</v>
      </c>
      <c r="D20">
        <v>152</v>
      </c>
      <c r="E20">
        <v>162.74000549316401</v>
      </c>
      <c r="F20">
        <v>160.90126037597599</v>
      </c>
      <c r="G20">
        <v>141147500</v>
      </c>
      <c r="H20">
        <v>0.1</v>
      </c>
      <c r="I20">
        <v>1.6680190209133101E-2</v>
      </c>
      <c r="J20">
        <v>2.2488374575584901E-2</v>
      </c>
      <c r="K20">
        <v>167.82900238037101</v>
      </c>
      <c r="L20">
        <v>124.953498840332</v>
      </c>
      <c r="M20">
        <v>133</v>
      </c>
      <c r="N20">
        <v>124.953498840332</v>
      </c>
      <c r="O20">
        <v>132.690994262695</v>
      </c>
      <c r="P20">
        <v>132.690994262695</v>
      </c>
      <c r="Q20">
        <v>54456000</v>
      </c>
      <c r="R20">
        <v>0.1</v>
      </c>
      <c r="S20">
        <v>3.9995900309593498E-2</v>
      </c>
      <c r="T20">
        <v>2.77767778056166E-2</v>
      </c>
      <c r="U20">
        <v>133.58095092773399</v>
      </c>
      <c r="V20">
        <v>272.510009765625</v>
      </c>
      <c r="W20">
        <v>295.16000366210898</v>
      </c>
      <c r="X20">
        <v>271.51998901367102</v>
      </c>
      <c r="Y20">
        <v>294.58999633789</v>
      </c>
      <c r="Z20">
        <v>289.353271484375</v>
      </c>
      <c r="AA20">
        <v>56989700</v>
      </c>
      <c r="AB20">
        <v>0.1</v>
      </c>
      <c r="AC20">
        <v>5.1093616461091097E-2</v>
      </c>
      <c r="AD20">
        <v>2.28112948657423E-2</v>
      </c>
      <c r="AE20">
        <v>293.36300048828099</v>
      </c>
      <c r="AF20">
        <v>159.77999877929599</v>
      </c>
      <c r="AG20">
        <v>160.13000488281199</v>
      </c>
      <c r="AH20">
        <v>155.72000122070301</v>
      </c>
      <c r="AI20">
        <v>158.13999938964801</v>
      </c>
      <c r="AJ20">
        <v>149.37907409667901</v>
      </c>
      <c r="AK20">
        <v>12883400</v>
      </c>
      <c r="AL20">
        <v>0.1</v>
      </c>
      <c r="AM20">
        <v>-1.9104340700495898E-2</v>
      </c>
      <c r="AN20">
        <v>9.4011073682018706E-3</v>
      </c>
      <c r="AO20">
        <v>164.73000183105401</v>
      </c>
      <c r="AP20">
        <v>59.970001220703097</v>
      </c>
      <c r="AQ20">
        <v>60.619998931884702</v>
      </c>
      <c r="AR20">
        <v>59.220001220703097</v>
      </c>
      <c r="AS20">
        <v>60.509998321533203</v>
      </c>
      <c r="AT20">
        <v>56.521656036376903</v>
      </c>
      <c r="AU20">
        <v>27207400</v>
      </c>
      <c r="AV20">
        <v>0.1</v>
      </c>
      <c r="AW20">
        <v>-1.7535343860675501E-2</v>
      </c>
      <c r="AX20">
        <v>1.12445028376114E-2</v>
      </c>
      <c r="AY20">
        <v>61.320000076293901</v>
      </c>
      <c r="AZ20">
        <v>0.29499998688697798</v>
      </c>
      <c r="BA20">
        <v>0.29499998688697798</v>
      </c>
      <c r="BB20">
        <v>0.26499998569488498</v>
      </c>
      <c r="BC20">
        <v>0.28299999237060502</v>
      </c>
      <c r="BD20">
        <v>0.28299999237060502</v>
      </c>
      <c r="BE20">
        <v>0</v>
      </c>
      <c r="BF20">
        <v>0.5</v>
      </c>
      <c r="BG20">
        <v>-0.16764709001800099</v>
      </c>
      <c r="BH20">
        <v>0.143477931802164</v>
      </c>
      <c r="BI20">
        <v>0.34570000171661303</v>
      </c>
      <c r="BJ20">
        <f t="shared" si="0"/>
        <v>-7.6710542767135889E-2</v>
      </c>
    </row>
    <row r="21" spans="1:62">
      <c r="A21" s="2">
        <v>44617</v>
      </c>
      <c r="B21">
        <v>163.83999633789</v>
      </c>
      <c r="C21">
        <v>165.11999511718699</v>
      </c>
      <c r="D21">
        <v>160.86999511718699</v>
      </c>
      <c r="E21">
        <v>164.850006103515</v>
      </c>
      <c r="F21">
        <v>162.98744201660099</v>
      </c>
      <c r="G21">
        <v>91974200</v>
      </c>
      <c r="H21">
        <v>0.1</v>
      </c>
      <c r="I21">
        <v>1.2965469700934699E-2</v>
      </c>
      <c r="J21">
        <v>2.2615780233841799E-2</v>
      </c>
      <c r="K21">
        <v>167.102003479003</v>
      </c>
      <c r="L21">
        <v>133.552001953125</v>
      </c>
      <c r="M21">
        <v>135.27149963378901</v>
      </c>
      <c r="N21">
        <v>131.75149536132801</v>
      </c>
      <c r="O21">
        <v>134.45950317382801</v>
      </c>
      <c r="P21">
        <v>134.45950317382801</v>
      </c>
      <c r="Q21">
        <v>36406000</v>
      </c>
      <c r="R21">
        <v>0.1</v>
      </c>
      <c r="S21">
        <v>1.33280251682461E-2</v>
      </c>
      <c r="T21">
        <v>2.7883018373504102E-2</v>
      </c>
      <c r="U21">
        <v>133.16490173339801</v>
      </c>
      <c r="V21">
        <v>295.14001464843699</v>
      </c>
      <c r="W21">
        <v>297.63000488281199</v>
      </c>
      <c r="X21">
        <v>291.64999389648398</v>
      </c>
      <c r="Y21">
        <v>297.30999755859301</v>
      </c>
      <c r="Z21">
        <v>292.02487182617102</v>
      </c>
      <c r="AA21">
        <v>32546700</v>
      </c>
      <c r="AB21">
        <v>0.1</v>
      </c>
      <c r="AC21">
        <v>9.2331757850436704E-3</v>
      </c>
      <c r="AD21">
        <v>2.2780805283959E-2</v>
      </c>
      <c r="AE21">
        <v>292.85599975585899</v>
      </c>
      <c r="AF21">
        <v>160</v>
      </c>
      <c r="AG21">
        <v>166.99000549316401</v>
      </c>
      <c r="AH21">
        <v>159.69999694824199</v>
      </c>
      <c r="AI21">
        <v>166</v>
      </c>
      <c r="AJ21">
        <v>156.80363464355401</v>
      </c>
      <c r="AK21">
        <v>11340400</v>
      </c>
      <c r="AL21">
        <v>0.1</v>
      </c>
      <c r="AM21">
        <v>4.9702799043175303E-2</v>
      </c>
      <c r="AN21">
        <v>1.4755017464476499E-2</v>
      </c>
      <c r="AO21">
        <v>164.38800201416001</v>
      </c>
      <c r="AP21">
        <v>60.939998626708899</v>
      </c>
      <c r="AQ21">
        <v>62.900001525878899</v>
      </c>
      <c r="AR21">
        <v>60.919998168945298</v>
      </c>
      <c r="AS21">
        <v>62.849998474121001</v>
      </c>
      <c r="AT21">
        <v>58.707420349121001</v>
      </c>
      <c r="AU21">
        <v>21487800</v>
      </c>
      <c r="AV21">
        <v>0.1</v>
      </c>
      <c r="AW21">
        <v>3.8671297595378899E-2</v>
      </c>
      <c r="AX21">
        <v>1.4074321283829299E-2</v>
      </c>
      <c r="AY21">
        <v>61.4669998168945</v>
      </c>
      <c r="AZ21">
        <v>0.30300000309944097</v>
      </c>
      <c r="BA21">
        <v>0.31299999356269798</v>
      </c>
      <c r="BB21">
        <v>0.28000000119209201</v>
      </c>
      <c r="BC21">
        <v>0.298000007867813</v>
      </c>
      <c r="BD21">
        <v>0.298000007867813</v>
      </c>
      <c r="BE21">
        <v>0</v>
      </c>
      <c r="BF21">
        <v>0.5</v>
      </c>
      <c r="BG21">
        <v>5.3003589758278999E-2</v>
      </c>
      <c r="BH21">
        <v>0.143546179570788</v>
      </c>
      <c r="BI21">
        <v>0.338500002026557</v>
      </c>
      <c r="BJ21">
        <f t="shared" si="0"/>
        <v>3.8891871608417367E-2</v>
      </c>
    </row>
    <row r="22" spans="1:62">
      <c r="A22" s="2">
        <v>44620</v>
      </c>
      <c r="B22">
        <v>163.05999755859301</v>
      </c>
      <c r="C22">
        <v>165.419998168945</v>
      </c>
      <c r="D22">
        <v>162.42999267578099</v>
      </c>
      <c r="E22">
        <v>165.11999511718699</v>
      </c>
      <c r="F22">
        <v>163.25439453125</v>
      </c>
      <c r="G22">
        <v>95056600</v>
      </c>
      <c r="H22">
        <v>0.1</v>
      </c>
      <c r="I22">
        <v>1.6377858882354801E-3</v>
      </c>
      <c r="J22">
        <v>1.6041171722775902E-2</v>
      </c>
      <c r="K22">
        <v>166.75000305175701</v>
      </c>
      <c r="L22">
        <v>133.05000305175699</v>
      </c>
      <c r="M22">
        <v>135.75149536132801</v>
      </c>
      <c r="N22">
        <v>132.59249877929599</v>
      </c>
      <c r="O22">
        <v>135.05700683593699</v>
      </c>
      <c r="P22">
        <v>135.05700683593699</v>
      </c>
      <c r="Q22">
        <v>38864000</v>
      </c>
      <c r="R22">
        <v>0.1</v>
      </c>
      <c r="S22">
        <v>4.44374438403905E-3</v>
      </c>
      <c r="T22">
        <v>2.69076342726648E-2</v>
      </c>
      <c r="U22">
        <v>133.24235229492101</v>
      </c>
      <c r="V22">
        <v>294.30999755859301</v>
      </c>
      <c r="W22">
        <v>299.14001464843699</v>
      </c>
      <c r="X22">
        <v>293</v>
      </c>
      <c r="Y22">
        <v>298.79000854492102</v>
      </c>
      <c r="Z22">
        <v>293.47863769531199</v>
      </c>
      <c r="AA22">
        <v>34627500</v>
      </c>
      <c r="AB22">
        <v>0.1</v>
      </c>
      <c r="AC22">
        <v>4.9780061164490502E-3</v>
      </c>
      <c r="AD22">
        <v>2.1838689137302799E-2</v>
      </c>
      <c r="AE22">
        <v>293.23099975585899</v>
      </c>
      <c r="AF22">
        <v>162.86999511718699</v>
      </c>
      <c r="AG22">
        <v>165.17999267578099</v>
      </c>
      <c r="AH22">
        <v>162.38000488281199</v>
      </c>
      <c r="AI22">
        <v>164.57000732421801</v>
      </c>
      <c r="AJ22">
        <v>155.452880859375</v>
      </c>
      <c r="AK22">
        <v>9373500</v>
      </c>
      <c r="AL22">
        <v>0.1</v>
      </c>
      <c r="AM22">
        <v>-8.6144137095256392E-3</v>
      </c>
      <c r="AN22">
        <v>1.4706797497976201E-2</v>
      </c>
      <c r="AO22">
        <v>164.07400207519501</v>
      </c>
      <c r="AP22">
        <v>61.650001525878899</v>
      </c>
      <c r="AQ22">
        <v>62.340000152587798</v>
      </c>
      <c r="AR22">
        <v>61.409999847412102</v>
      </c>
      <c r="AS22">
        <v>62.240001678466797</v>
      </c>
      <c r="AT22">
        <v>58.137626647949197</v>
      </c>
      <c r="AU22">
        <v>25879100</v>
      </c>
      <c r="AV22">
        <v>0.1</v>
      </c>
      <c r="AW22">
        <v>-9.7055976207456301E-3</v>
      </c>
      <c r="AX22">
        <v>1.37201177524019E-2</v>
      </c>
      <c r="AY22">
        <v>61.661999893188401</v>
      </c>
      <c r="AZ22">
        <v>0.31000000238418501</v>
      </c>
      <c r="BA22">
        <v>0.31000000238418501</v>
      </c>
      <c r="BB22">
        <v>0.27300000190734802</v>
      </c>
      <c r="BC22">
        <v>0.287999987602233</v>
      </c>
      <c r="BD22">
        <v>0.287999987602233</v>
      </c>
      <c r="BE22">
        <v>0</v>
      </c>
      <c r="BF22">
        <v>0.5</v>
      </c>
      <c r="BG22">
        <v>-3.3557114099188302E-2</v>
      </c>
      <c r="BH22">
        <v>0.14259144768830201</v>
      </c>
      <c r="BI22">
        <v>0.33350000083446502</v>
      </c>
      <c r="BJ22">
        <f t="shared" si="0"/>
        <v>-1.7504604543748921E-2</v>
      </c>
    </row>
    <row r="23" spans="1:62">
      <c r="A23" s="2">
        <v>44621</v>
      </c>
      <c r="B23">
        <v>164.69999694824199</v>
      </c>
      <c r="C23">
        <v>166.600006103515</v>
      </c>
      <c r="D23">
        <v>161.97000122070301</v>
      </c>
      <c r="E23">
        <v>163.19999694824199</v>
      </c>
      <c r="F23">
        <v>161.35606384277301</v>
      </c>
      <c r="G23">
        <v>83474400</v>
      </c>
      <c r="H23">
        <v>0.1</v>
      </c>
      <c r="I23">
        <v>-1.16278962313599E-2</v>
      </c>
      <c r="J23">
        <v>1.4801309340137001E-2</v>
      </c>
      <c r="K23">
        <v>166.1820022583</v>
      </c>
      <c r="L23">
        <v>134.878494262695</v>
      </c>
      <c r="M23">
        <v>136.25549316406199</v>
      </c>
      <c r="N23">
        <v>133.218505859375</v>
      </c>
      <c r="O23">
        <v>134.06149291992099</v>
      </c>
      <c r="P23">
        <v>134.06149291992099</v>
      </c>
      <c r="Q23">
        <v>26496000</v>
      </c>
      <c r="R23">
        <v>0.1</v>
      </c>
      <c r="S23">
        <v>-7.3710645551692197E-3</v>
      </c>
      <c r="T23">
        <v>2.6769022412275599E-2</v>
      </c>
      <c r="U23">
        <v>133.09590148925699</v>
      </c>
      <c r="V23">
        <v>296.39999389648398</v>
      </c>
      <c r="W23">
        <v>299.97000122070301</v>
      </c>
      <c r="X23">
        <v>292.14999389648398</v>
      </c>
      <c r="Y23">
        <v>294.95001220703102</v>
      </c>
      <c r="Z23">
        <v>289.70684814453102</v>
      </c>
      <c r="AA23">
        <v>31217800</v>
      </c>
      <c r="AB23">
        <v>0.1</v>
      </c>
      <c r="AC23">
        <v>-1.2851823113466899E-2</v>
      </c>
      <c r="AD23">
        <v>2.1845966431023201E-2</v>
      </c>
      <c r="AE23">
        <v>293.22600097656198</v>
      </c>
      <c r="AF23">
        <v>163.03999328613199</v>
      </c>
      <c r="AG23">
        <v>164.75</v>
      </c>
      <c r="AH23">
        <v>162.41000366210901</v>
      </c>
      <c r="AI23">
        <v>164</v>
      </c>
      <c r="AJ23">
        <v>154.91444396972599</v>
      </c>
      <c r="AK23">
        <v>8737800</v>
      </c>
      <c r="AL23">
        <v>0.1</v>
      </c>
      <c r="AM23">
        <v>-3.46361608343237E-3</v>
      </c>
      <c r="AN23">
        <v>1.46627860663402E-2</v>
      </c>
      <c r="AO23">
        <v>163.91400146484301</v>
      </c>
      <c r="AP23">
        <v>62.139999389648402</v>
      </c>
      <c r="AQ23">
        <v>62.75</v>
      </c>
      <c r="AR23">
        <v>61.509998321533203</v>
      </c>
      <c r="AS23">
        <v>61.970001220703097</v>
      </c>
      <c r="AT23">
        <v>57.885425567626903</v>
      </c>
      <c r="AU23">
        <v>15871100</v>
      </c>
      <c r="AV23">
        <v>0.1</v>
      </c>
      <c r="AW23">
        <v>-4.3380535103212303E-3</v>
      </c>
      <c r="AX23">
        <v>1.3769836414818401E-2</v>
      </c>
      <c r="AY23">
        <v>61.790999984741198</v>
      </c>
      <c r="AZ23">
        <v>0.33000001311302102</v>
      </c>
      <c r="BA23">
        <v>0.33799999952316201</v>
      </c>
      <c r="BB23">
        <v>0.30000001192092801</v>
      </c>
      <c r="BC23">
        <v>0.31299999356269798</v>
      </c>
      <c r="BD23">
        <v>0.31299999356269798</v>
      </c>
      <c r="BE23">
        <v>0</v>
      </c>
      <c r="BF23">
        <v>0.5</v>
      </c>
      <c r="BG23">
        <v>8.6805579988401896E-2</v>
      </c>
      <c r="BH23">
        <v>0.14280807431547801</v>
      </c>
      <c r="BI23">
        <v>0.32879999876022298</v>
      </c>
      <c r="BJ23">
        <f t="shared" si="0"/>
        <v>3.9437544644825982E-2</v>
      </c>
    </row>
    <row r="24" spans="1:62">
      <c r="A24" s="2">
        <v>44622</v>
      </c>
      <c r="B24">
        <v>164.38999938964801</v>
      </c>
      <c r="C24">
        <v>167.36000061035099</v>
      </c>
      <c r="D24">
        <v>162.94999694824199</v>
      </c>
      <c r="E24">
        <v>166.55999755859301</v>
      </c>
      <c r="F24">
        <v>164.67810058593699</v>
      </c>
      <c r="G24">
        <v>79724800</v>
      </c>
      <c r="H24">
        <v>0.1</v>
      </c>
      <c r="I24">
        <v>2.0588239419006601E-2</v>
      </c>
      <c r="J24">
        <v>1.5736707212740401E-2</v>
      </c>
      <c r="K24">
        <v>165.55900268554601</v>
      </c>
      <c r="L24">
        <v>134.628005981445</v>
      </c>
      <c r="M24">
        <v>135.26249694824199</v>
      </c>
      <c r="N24">
        <v>133.07150268554599</v>
      </c>
      <c r="O24">
        <v>134.57150268554599</v>
      </c>
      <c r="P24">
        <v>134.57150268554599</v>
      </c>
      <c r="Q24">
        <v>23520000</v>
      </c>
      <c r="R24">
        <v>0.1</v>
      </c>
      <c r="S24">
        <v>3.8042972259726398E-3</v>
      </c>
      <c r="T24">
        <v>2.6475187578001502E-2</v>
      </c>
      <c r="U24">
        <v>132.89220123291</v>
      </c>
      <c r="V24">
        <v>295.35998535156199</v>
      </c>
      <c r="W24">
        <v>301.47000122070301</v>
      </c>
      <c r="X24">
        <v>293.70001220703102</v>
      </c>
      <c r="Y24">
        <v>300.19000244140602</v>
      </c>
      <c r="Z24">
        <v>294.85369873046801</v>
      </c>
      <c r="AA24">
        <v>31873000</v>
      </c>
      <c r="AB24">
        <v>0.1</v>
      </c>
      <c r="AC24">
        <v>1.77656891592088E-2</v>
      </c>
      <c r="AD24">
        <v>2.22683323029652E-2</v>
      </c>
      <c r="AE24">
        <v>293.19800109863201</v>
      </c>
      <c r="AF24">
        <v>164.41000366210901</v>
      </c>
      <c r="AG24">
        <v>167.63000488281199</v>
      </c>
      <c r="AH24">
        <v>164.03999328613199</v>
      </c>
      <c r="AI24">
        <v>166.03999328613199</v>
      </c>
      <c r="AJ24">
        <v>156.84141540527301</v>
      </c>
      <c r="AK24">
        <v>6793300</v>
      </c>
      <c r="AL24">
        <v>0.1</v>
      </c>
      <c r="AM24">
        <v>1.24389834520293E-2</v>
      </c>
      <c r="AN24">
        <v>1.49540962060709E-2</v>
      </c>
      <c r="AO24">
        <v>163.78700103759701</v>
      </c>
      <c r="AP24">
        <v>62.2299995422363</v>
      </c>
      <c r="AQ24">
        <v>62.880001068115199</v>
      </c>
      <c r="AR24">
        <v>61.779998779296797</v>
      </c>
      <c r="AS24">
        <v>62.430000305175703</v>
      </c>
      <c r="AT24">
        <v>58.315097808837798</v>
      </c>
      <c r="AU24">
        <v>17319100</v>
      </c>
      <c r="AV24">
        <v>0.1</v>
      </c>
      <c r="AW24">
        <v>7.4229316671205999E-3</v>
      </c>
      <c r="AX24">
        <v>1.37008441995867E-2</v>
      </c>
      <c r="AY24">
        <v>61.943000030517503</v>
      </c>
      <c r="AZ24">
        <v>0.33000001311302102</v>
      </c>
      <c r="BA24">
        <v>0.34499999880790699</v>
      </c>
      <c r="BB24">
        <v>0.31799998879432601</v>
      </c>
      <c r="BC24">
        <v>0.32499998807907099</v>
      </c>
      <c r="BD24">
        <v>0.32499998807907099</v>
      </c>
      <c r="BE24">
        <v>0</v>
      </c>
      <c r="BF24">
        <v>0.5</v>
      </c>
      <c r="BG24">
        <v>3.8338641415878803E-2</v>
      </c>
      <c r="BH24">
        <v>0.13925717186453801</v>
      </c>
      <c r="BI24">
        <v>0.321299996972084</v>
      </c>
      <c r="BJ24">
        <f t="shared" si="0"/>
        <v>2.5371334800273194E-2</v>
      </c>
    </row>
    <row r="25" spans="1:62">
      <c r="A25" s="2">
        <v>44623</v>
      </c>
      <c r="B25">
        <v>168.47000122070301</v>
      </c>
      <c r="C25">
        <v>168.91000366210901</v>
      </c>
      <c r="D25">
        <v>165.55000305175699</v>
      </c>
      <c r="E25">
        <v>166.22999572753901</v>
      </c>
      <c r="F25">
        <v>164.35185241699199</v>
      </c>
      <c r="G25">
        <v>76678400</v>
      </c>
      <c r="H25">
        <v>0.1</v>
      </c>
      <c r="I25">
        <v>-1.9812790339325198E-3</v>
      </c>
      <c r="J25">
        <v>1.55851535549599E-2</v>
      </c>
      <c r="K25">
        <v>164.927001953125</v>
      </c>
      <c r="L25">
        <v>136.009994506835</v>
      </c>
      <c r="M25">
        <v>136.43949890136699</v>
      </c>
      <c r="N25">
        <v>133.02549743652301</v>
      </c>
      <c r="O25">
        <v>133.89950561523401</v>
      </c>
      <c r="P25">
        <v>133.89950561523401</v>
      </c>
      <c r="Q25">
        <v>24604000</v>
      </c>
      <c r="R25">
        <v>0.1</v>
      </c>
      <c r="S25">
        <v>-4.9936060525589401E-3</v>
      </c>
      <c r="T25">
        <v>1.95093769665673E-2</v>
      </c>
      <c r="U25">
        <v>132.50835113525301</v>
      </c>
      <c r="V25">
        <v>302.89001464843699</v>
      </c>
      <c r="W25">
        <v>303.13000488281199</v>
      </c>
      <c r="X25">
        <v>294.04998779296801</v>
      </c>
      <c r="Y25">
        <v>295.92001342773398</v>
      </c>
      <c r="Z25">
        <v>290.65960693359301</v>
      </c>
      <c r="AA25">
        <v>27314500</v>
      </c>
      <c r="AB25">
        <v>0.1</v>
      </c>
      <c r="AC25">
        <v>-1.42242878808241E-2</v>
      </c>
      <c r="AD25">
        <v>2.21002150426894E-2</v>
      </c>
      <c r="AE25">
        <v>292.840002441406</v>
      </c>
      <c r="AF25">
        <v>166.69999694824199</v>
      </c>
      <c r="AG25">
        <v>169.33999633789</v>
      </c>
      <c r="AH25">
        <v>166.32000732421801</v>
      </c>
      <c r="AI25">
        <v>168.47999572753901</v>
      </c>
      <c r="AJ25">
        <v>159.146224975585</v>
      </c>
      <c r="AK25">
        <v>7333700</v>
      </c>
      <c r="AL25">
        <v>0.1</v>
      </c>
      <c r="AM25">
        <v>1.46952694535553E-2</v>
      </c>
      <c r="AN25">
        <v>1.5133634153238099E-2</v>
      </c>
      <c r="AO25">
        <v>163.913999938964</v>
      </c>
      <c r="AP25">
        <v>62.610000610351499</v>
      </c>
      <c r="AQ25">
        <v>63.020000457763601</v>
      </c>
      <c r="AR25">
        <v>62.290000915527301</v>
      </c>
      <c r="AS25">
        <v>62.470001220703097</v>
      </c>
      <c r="AT25">
        <v>58.352458953857401</v>
      </c>
      <c r="AU25">
        <v>21262800</v>
      </c>
      <c r="AV25">
        <v>0.1</v>
      </c>
      <c r="AW25">
        <v>6.4073226544625295E-4</v>
      </c>
      <c r="AX25">
        <v>1.35500035739381E-2</v>
      </c>
      <c r="AY25">
        <v>62.1</v>
      </c>
      <c r="AZ25">
        <v>0.31000000238418501</v>
      </c>
      <c r="BA25">
        <v>0.33500000834464999</v>
      </c>
      <c r="BB25">
        <v>0.298000007867813</v>
      </c>
      <c r="BC25">
        <v>0.33500000834464999</v>
      </c>
      <c r="BD25">
        <v>0.33500000834464999</v>
      </c>
      <c r="BE25">
        <v>0</v>
      </c>
      <c r="BF25">
        <v>0.5</v>
      </c>
      <c r="BG25">
        <v>3.0769294253470001E-2</v>
      </c>
      <c r="BH25">
        <v>0.13633799538465</v>
      </c>
      <c r="BI25">
        <v>0.31749999821185998</v>
      </c>
      <c r="BJ25">
        <f t="shared" si="0"/>
        <v>1.4798330001903599E-2</v>
      </c>
    </row>
    <row r="26" spans="1:62">
      <c r="A26" s="2">
        <v>44624</v>
      </c>
      <c r="B26">
        <v>164.49000549316401</v>
      </c>
      <c r="C26">
        <v>165.55000305175699</v>
      </c>
      <c r="D26">
        <v>162.100006103515</v>
      </c>
      <c r="E26">
        <v>163.169998168945</v>
      </c>
      <c r="F26">
        <v>161.326400756835</v>
      </c>
      <c r="G26">
        <v>83737200</v>
      </c>
      <c r="H26">
        <v>0.1</v>
      </c>
      <c r="I26">
        <v>-1.8408215347663601E-2</v>
      </c>
      <c r="J26">
        <v>1.56694920363483E-2</v>
      </c>
      <c r="K26">
        <v>164.356001281738</v>
      </c>
      <c r="L26">
        <v>132.92750549316401</v>
      </c>
      <c r="M26">
        <v>133.85150146484301</v>
      </c>
      <c r="N26">
        <v>130.33749389648401</v>
      </c>
      <c r="O26">
        <v>131.906494140625</v>
      </c>
      <c r="P26">
        <v>131.906494140625</v>
      </c>
      <c r="Q26">
        <v>30430000</v>
      </c>
      <c r="R26">
        <v>0.1</v>
      </c>
      <c r="S26">
        <v>-1.48843826230126E-2</v>
      </c>
      <c r="T26">
        <v>1.8513053988927299E-2</v>
      </c>
      <c r="U26">
        <v>132.445100402832</v>
      </c>
      <c r="V26">
        <v>294.29000854492102</v>
      </c>
      <c r="W26">
        <v>295.66000366210898</v>
      </c>
      <c r="X26">
        <v>287.17001342773398</v>
      </c>
      <c r="Y26">
        <v>289.85998535156199</v>
      </c>
      <c r="Z26">
        <v>284.70730590820301</v>
      </c>
      <c r="AA26">
        <v>32356500</v>
      </c>
      <c r="AB26">
        <v>0.1</v>
      </c>
      <c r="AC26">
        <v>-2.0478601653117798E-2</v>
      </c>
      <c r="AD26">
        <v>2.0853720214582799E-2</v>
      </c>
      <c r="AE26">
        <v>292.75299987792903</v>
      </c>
      <c r="AF26">
        <v>167.63999938964801</v>
      </c>
      <c r="AG26">
        <v>169.86000061035099</v>
      </c>
      <c r="AH26">
        <v>166.850006103515</v>
      </c>
      <c r="AI26">
        <v>169.47999572753901</v>
      </c>
      <c r="AJ26">
        <v>160.09085083007801</v>
      </c>
      <c r="AK26">
        <v>6302500</v>
      </c>
      <c r="AL26">
        <v>0.1</v>
      </c>
      <c r="AM26">
        <v>5.93542275260472E-3</v>
      </c>
      <c r="AN26">
        <v>1.52155033580253E-2</v>
      </c>
      <c r="AO26">
        <v>164.242999267578</v>
      </c>
      <c r="AP26">
        <v>61.459999084472599</v>
      </c>
      <c r="AQ26">
        <v>62.590000152587798</v>
      </c>
      <c r="AR26">
        <v>61.200000762939403</v>
      </c>
      <c r="AS26">
        <v>62.569999694824197</v>
      </c>
      <c r="AT26">
        <v>58.445869445800703</v>
      </c>
      <c r="AU26">
        <v>17163000</v>
      </c>
      <c r="AV26">
        <v>0.1</v>
      </c>
      <c r="AW26">
        <v>1.6007439117506901E-3</v>
      </c>
      <c r="AX26">
        <v>1.34798290667266E-2</v>
      </c>
      <c r="AY26">
        <v>62.145000076293897</v>
      </c>
      <c r="AZ26">
        <v>0.32499998807907099</v>
      </c>
      <c r="BA26">
        <v>0.32499998807907099</v>
      </c>
      <c r="BB26">
        <v>0.29499998688697798</v>
      </c>
      <c r="BC26">
        <v>0.30500000715255698</v>
      </c>
      <c r="BD26">
        <v>0.30500000715255698</v>
      </c>
      <c r="BE26">
        <v>0</v>
      </c>
      <c r="BF26">
        <v>0.5</v>
      </c>
      <c r="BG26">
        <v>-8.9552240133763505E-2</v>
      </c>
      <c r="BH26">
        <v>0.13927253917337301</v>
      </c>
      <c r="BI26">
        <v>0.31349999904632497</v>
      </c>
      <c r="BJ26">
        <f t="shared" si="0"/>
        <v>-4.9399623362825613E-2</v>
      </c>
    </row>
    <row r="27" spans="1:62">
      <c r="A27" s="2">
        <v>44627</v>
      </c>
      <c r="B27">
        <v>163.36000061035099</v>
      </c>
      <c r="C27">
        <v>165.02000427246</v>
      </c>
      <c r="D27">
        <v>159.03999328613199</v>
      </c>
      <c r="E27">
        <v>159.30000305175699</v>
      </c>
      <c r="F27">
        <v>157.50015258789</v>
      </c>
      <c r="G27">
        <v>96418800</v>
      </c>
      <c r="H27">
        <v>0.1</v>
      </c>
      <c r="I27">
        <v>-2.3717565487624201E-2</v>
      </c>
      <c r="J27">
        <v>1.6354814203812601E-2</v>
      </c>
      <c r="K27">
        <v>163.55600128173799</v>
      </c>
      <c r="L27">
        <v>131.48800659179599</v>
      </c>
      <c r="M27">
        <v>131.73500061035099</v>
      </c>
      <c r="N27">
        <v>126.294998168945</v>
      </c>
      <c r="O27">
        <v>126.37850189208901</v>
      </c>
      <c r="P27">
        <v>126.37850189208901</v>
      </c>
      <c r="Q27">
        <v>45112000</v>
      </c>
      <c r="R27">
        <v>0.1</v>
      </c>
      <c r="S27">
        <v>-4.19084161439525E-2</v>
      </c>
      <c r="T27">
        <v>2.03063754187436E-2</v>
      </c>
      <c r="U27">
        <v>132.042650604248</v>
      </c>
      <c r="V27">
        <v>288.52999877929602</v>
      </c>
      <c r="W27">
        <v>289.69000244140602</v>
      </c>
      <c r="X27">
        <v>278.52999877929602</v>
      </c>
      <c r="Y27">
        <v>278.91000366210898</v>
      </c>
      <c r="Z27">
        <v>273.95199584960898</v>
      </c>
      <c r="AA27">
        <v>43157200</v>
      </c>
      <c r="AB27">
        <v>0.1</v>
      </c>
      <c r="AC27">
        <v>-3.7776796532202297E-2</v>
      </c>
      <c r="AD27">
        <v>2.1910810317432201E-2</v>
      </c>
      <c r="AE27">
        <v>291.85100097656198</v>
      </c>
      <c r="AF27">
        <v>168.30000305175699</v>
      </c>
      <c r="AG27">
        <v>173.11999511718699</v>
      </c>
      <c r="AH27">
        <v>167.36000061035099</v>
      </c>
      <c r="AI27">
        <v>172.21000671386699</v>
      </c>
      <c r="AJ27">
        <v>162.66961669921801</v>
      </c>
      <c r="AK27">
        <v>11663400</v>
      </c>
      <c r="AL27">
        <v>0.1</v>
      </c>
      <c r="AM27">
        <v>1.6108160580302101E-2</v>
      </c>
      <c r="AN27">
        <v>1.56074486180885E-2</v>
      </c>
      <c r="AO27">
        <v>165.127999877929</v>
      </c>
      <c r="AP27">
        <v>62.009998321533203</v>
      </c>
      <c r="AQ27">
        <v>62.069999694824197</v>
      </c>
      <c r="AR27">
        <v>60.720001220703097</v>
      </c>
      <c r="AS27">
        <v>61.080001831054602</v>
      </c>
      <c r="AT27">
        <v>57.054084777832003</v>
      </c>
      <c r="AU27">
        <v>29151400</v>
      </c>
      <c r="AV27">
        <v>0.1</v>
      </c>
      <c r="AW27">
        <v>-2.38132950461367E-2</v>
      </c>
      <c r="AX27">
        <v>1.4367662040737399E-2</v>
      </c>
      <c r="AY27">
        <v>61.999000167846603</v>
      </c>
      <c r="AZ27">
        <v>0.31499999761581399</v>
      </c>
      <c r="BA27">
        <v>0.31999999284744202</v>
      </c>
      <c r="BB27">
        <v>0.29499998688697798</v>
      </c>
      <c r="BC27">
        <v>0.30500000715255698</v>
      </c>
      <c r="BD27">
        <v>0.30500000715255698</v>
      </c>
      <c r="BE27">
        <v>0</v>
      </c>
      <c r="BF27">
        <v>0.5</v>
      </c>
      <c r="BG27">
        <v>0</v>
      </c>
      <c r="BH27">
        <v>0.136290569707223</v>
      </c>
      <c r="BI27">
        <v>0.312200000882148</v>
      </c>
      <c r="BJ27">
        <f t="shared" si="0"/>
        <v>-1.1110791262961359E-2</v>
      </c>
    </row>
    <row r="28" spans="1:62">
      <c r="A28" s="2">
        <v>44628</v>
      </c>
      <c r="B28">
        <v>158.82000732421801</v>
      </c>
      <c r="C28">
        <v>162.88000488281199</v>
      </c>
      <c r="D28">
        <v>155.80000305175699</v>
      </c>
      <c r="E28">
        <v>157.44000244140599</v>
      </c>
      <c r="F28">
        <v>155.66114807128901</v>
      </c>
      <c r="G28">
        <v>131148300</v>
      </c>
      <c r="H28">
        <v>0.1</v>
      </c>
      <c r="I28">
        <v>-1.1676086470301101E-2</v>
      </c>
      <c r="J28">
        <v>1.6449274005470499E-2</v>
      </c>
      <c r="K28">
        <v>162.86800079345701</v>
      </c>
      <c r="L28">
        <v>126.25</v>
      </c>
      <c r="M28">
        <v>131.25</v>
      </c>
      <c r="N28">
        <v>125.674499511718</v>
      </c>
      <c r="O28">
        <v>127.10449981689401</v>
      </c>
      <c r="P28">
        <v>127.10449981689401</v>
      </c>
      <c r="Q28">
        <v>40428000</v>
      </c>
      <c r="R28">
        <v>0.1</v>
      </c>
      <c r="S28">
        <v>5.74463151513371E-3</v>
      </c>
      <c r="T28">
        <v>1.9747499406173E-2</v>
      </c>
      <c r="U28">
        <v>131.77174987792901</v>
      </c>
      <c r="V28">
        <v>277.79998779296801</v>
      </c>
      <c r="W28">
        <v>283.95999145507801</v>
      </c>
      <c r="X28">
        <v>270</v>
      </c>
      <c r="Y28">
        <v>275.850006103515</v>
      </c>
      <c r="Z28">
        <v>270.94635009765602</v>
      </c>
      <c r="AA28">
        <v>48159500</v>
      </c>
      <c r="AB28">
        <v>0.1</v>
      </c>
      <c r="AC28">
        <v>-1.09712721609686E-2</v>
      </c>
      <c r="AD28">
        <v>2.1790090133132999E-2</v>
      </c>
      <c r="AE28">
        <v>290.66400146484301</v>
      </c>
      <c r="AF28">
        <v>172.03999328613199</v>
      </c>
      <c r="AG28">
        <v>173.11999511718699</v>
      </c>
      <c r="AH28">
        <v>168.509994506835</v>
      </c>
      <c r="AI28">
        <v>168.72000122070301</v>
      </c>
      <c r="AJ28">
        <v>159.37292480468699</v>
      </c>
      <c r="AK28">
        <v>11100300</v>
      </c>
      <c r="AL28">
        <v>0.1</v>
      </c>
      <c r="AM28">
        <v>-2.0265985466006199E-2</v>
      </c>
      <c r="AN28">
        <v>1.6259666549159401E-2</v>
      </c>
      <c r="AO28">
        <v>165.88600006103499</v>
      </c>
      <c r="AP28">
        <v>61.450000762939403</v>
      </c>
      <c r="AQ28">
        <v>61.540000915527301</v>
      </c>
      <c r="AR28">
        <v>58.590000152587798</v>
      </c>
      <c r="AS28">
        <v>58.659999847412102</v>
      </c>
      <c r="AT28">
        <v>54.793586730957003</v>
      </c>
      <c r="AU28">
        <v>30242100</v>
      </c>
      <c r="AV28">
        <v>0.1</v>
      </c>
      <c r="AW28">
        <v>-3.9620201556906001E-2</v>
      </c>
      <c r="AX28">
        <v>1.6663441035641501E-2</v>
      </c>
      <c r="AY28">
        <v>61.637000274658199</v>
      </c>
      <c r="AZ28">
        <v>0.36300000548362699</v>
      </c>
      <c r="BA28">
        <v>0.36300000548362699</v>
      </c>
      <c r="BB28">
        <v>0.34999999403953502</v>
      </c>
      <c r="BC28">
        <v>0.36000001430511402</v>
      </c>
      <c r="BD28">
        <v>0.36000001430511402</v>
      </c>
      <c r="BE28">
        <v>0</v>
      </c>
      <c r="BF28">
        <v>0.5</v>
      </c>
      <c r="BG28">
        <v>0.18032788807459599</v>
      </c>
      <c r="BH28">
        <v>0.13784135666688099</v>
      </c>
      <c r="BI28">
        <v>0.31520000100135798</v>
      </c>
      <c r="BJ28">
        <f t="shared" si="0"/>
        <v>8.2485052623393174E-2</v>
      </c>
    </row>
    <row r="29" spans="1:62">
      <c r="A29" s="2">
        <v>44629</v>
      </c>
      <c r="B29">
        <v>161.47999572753901</v>
      </c>
      <c r="C29">
        <v>163.41000366210901</v>
      </c>
      <c r="D29">
        <v>159.41000366210901</v>
      </c>
      <c r="E29">
        <v>162.94999694824199</v>
      </c>
      <c r="F29">
        <v>161.10888671875</v>
      </c>
      <c r="G29">
        <v>91454900</v>
      </c>
      <c r="H29">
        <v>0.1</v>
      </c>
      <c r="I29">
        <v>3.4997423916368099E-2</v>
      </c>
      <c r="J29">
        <v>1.7990509268141101E-2</v>
      </c>
      <c r="K29">
        <v>163.155999755859</v>
      </c>
      <c r="L29">
        <v>131.25</v>
      </c>
      <c r="M29">
        <v>133.73550415039</v>
      </c>
      <c r="N29">
        <v>129.90049743652301</v>
      </c>
      <c r="O29">
        <v>133.419998168945</v>
      </c>
      <c r="P29">
        <v>133.419998168945</v>
      </c>
      <c r="Q29">
        <v>37026000</v>
      </c>
      <c r="R29">
        <v>0.1</v>
      </c>
      <c r="S29">
        <v>4.9687448997862399E-2</v>
      </c>
      <c r="T29">
        <v>2.3146502466751699E-2</v>
      </c>
      <c r="U29">
        <v>132.35494995117099</v>
      </c>
      <c r="V29">
        <v>283.44000244140602</v>
      </c>
      <c r="W29">
        <v>289.600006103515</v>
      </c>
      <c r="X29">
        <v>280.77999877929602</v>
      </c>
      <c r="Y29">
        <v>288.5</v>
      </c>
      <c r="Z29">
        <v>283.371490478515</v>
      </c>
      <c r="AA29">
        <v>35204500</v>
      </c>
      <c r="AB29">
        <v>0.1</v>
      </c>
      <c r="AC29">
        <v>4.5858233157831801E-2</v>
      </c>
      <c r="AD29">
        <v>2.4281421139645099E-2</v>
      </c>
      <c r="AE29">
        <v>291.48700256347598</v>
      </c>
      <c r="AF29">
        <v>170.009994506835</v>
      </c>
      <c r="AG29">
        <v>170.22999572753901</v>
      </c>
      <c r="AH29">
        <v>167.88999938964801</v>
      </c>
      <c r="AI29">
        <v>169.36000061035099</v>
      </c>
      <c r="AJ29">
        <v>159.97747802734301</v>
      </c>
      <c r="AK29">
        <v>7248200</v>
      </c>
      <c r="AL29">
        <v>0.1</v>
      </c>
      <c r="AM29">
        <v>3.7932633061759E-3</v>
      </c>
      <c r="AN29">
        <v>1.6273763608891101E-2</v>
      </c>
      <c r="AO29">
        <v>166.7</v>
      </c>
      <c r="AP29">
        <v>59.819999694824197</v>
      </c>
      <c r="AQ29">
        <v>59.840000152587798</v>
      </c>
      <c r="AR29">
        <v>58.659999847412102</v>
      </c>
      <c r="AS29">
        <v>58.959999084472599</v>
      </c>
      <c r="AT29">
        <v>55.073822021484297</v>
      </c>
      <c r="AU29">
        <v>23022700</v>
      </c>
      <c r="AV29">
        <v>0.1</v>
      </c>
      <c r="AW29">
        <v>5.1142045318941501E-3</v>
      </c>
      <c r="AX29">
        <v>1.6627903347782299E-2</v>
      </c>
      <c r="AY29">
        <v>61.374000167846603</v>
      </c>
      <c r="AZ29">
        <v>0.36000001430511402</v>
      </c>
      <c r="BA29">
        <v>0.37000000476837103</v>
      </c>
      <c r="BB29">
        <v>0.34799998998641901</v>
      </c>
      <c r="BC29">
        <v>0.37000000476837103</v>
      </c>
      <c r="BD29">
        <v>0.37000000476837103</v>
      </c>
      <c r="BE29">
        <v>0</v>
      </c>
      <c r="BF29">
        <v>0.5</v>
      </c>
      <c r="BG29">
        <v>2.7777750183035799E-2</v>
      </c>
      <c r="BH29">
        <v>0.11582664655574799</v>
      </c>
      <c r="BI29">
        <v>0.31820000112056701</v>
      </c>
      <c r="BJ29">
        <f t="shared" si="0"/>
        <v>2.7833932482531132E-2</v>
      </c>
    </row>
    <row r="30" spans="1:62">
      <c r="A30" s="2">
        <v>44630</v>
      </c>
      <c r="B30">
        <v>160.19999694824199</v>
      </c>
      <c r="C30">
        <v>160.38999938964801</v>
      </c>
      <c r="D30">
        <v>155.97999572753901</v>
      </c>
      <c r="E30">
        <v>158.52000427246</v>
      </c>
      <c r="F30">
        <v>156.72892761230401</v>
      </c>
      <c r="G30">
        <v>105342000</v>
      </c>
      <c r="H30">
        <v>0.1</v>
      </c>
      <c r="I30">
        <v>-2.7186209013482499E-2</v>
      </c>
      <c r="J30">
        <v>1.8522415240836001E-2</v>
      </c>
      <c r="K30">
        <v>162.73399963378901</v>
      </c>
      <c r="L30">
        <v>131.26600646972599</v>
      </c>
      <c r="M30">
        <v>133.27200317382801</v>
      </c>
      <c r="N30">
        <v>130.912506103515</v>
      </c>
      <c r="O30">
        <v>132.42950439453099</v>
      </c>
      <c r="P30">
        <v>132.42950439453099</v>
      </c>
      <c r="Q30">
        <v>27102000</v>
      </c>
      <c r="R30">
        <v>0.1</v>
      </c>
      <c r="S30">
        <v>-7.42387788942877E-3</v>
      </c>
      <c r="T30">
        <v>2.2792688582271198E-2</v>
      </c>
      <c r="U30">
        <v>132.328800964355</v>
      </c>
      <c r="V30">
        <v>283.01998901367102</v>
      </c>
      <c r="W30">
        <v>286.600006103515</v>
      </c>
      <c r="X30">
        <v>280.579986572265</v>
      </c>
      <c r="Y30">
        <v>285.58999633789</v>
      </c>
      <c r="Z30">
        <v>280.51321411132801</v>
      </c>
      <c r="AA30">
        <v>30628000</v>
      </c>
      <c r="AB30">
        <v>0.1</v>
      </c>
      <c r="AC30">
        <v>-1.00866678062716E-2</v>
      </c>
      <c r="AD30">
        <v>2.3643445649169599E-2</v>
      </c>
      <c r="AE30">
        <v>290.58700256347601</v>
      </c>
      <c r="AF30">
        <v>168.55999755859301</v>
      </c>
      <c r="AG30">
        <v>170.14999389648401</v>
      </c>
      <c r="AH30">
        <v>168.08000183105401</v>
      </c>
      <c r="AI30">
        <v>169.66000366210901</v>
      </c>
      <c r="AJ30">
        <v>160.26087951660099</v>
      </c>
      <c r="AK30">
        <v>6171400</v>
      </c>
      <c r="AL30">
        <v>0.1</v>
      </c>
      <c r="AM30">
        <v>1.7713925996494201E-3</v>
      </c>
      <c r="AN30">
        <v>1.62816181990512E-2</v>
      </c>
      <c r="AO30">
        <v>167.852000427246</v>
      </c>
      <c r="AP30">
        <v>58.4799995422363</v>
      </c>
      <c r="AQ30">
        <v>58.659999847412102</v>
      </c>
      <c r="AR30">
        <v>57.5</v>
      </c>
      <c r="AS30">
        <v>57.880001068115199</v>
      </c>
      <c r="AT30">
        <v>54.0650024414062</v>
      </c>
      <c r="AU30">
        <v>20887300</v>
      </c>
      <c r="AV30">
        <v>0.1</v>
      </c>
      <c r="AW30">
        <v>-1.8317470032692702E-2</v>
      </c>
      <c r="AX30">
        <v>1.67570122892403E-2</v>
      </c>
      <c r="AY30">
        <v>61.111000442504803</v>
      </c>
      <c r="AZ30">
        <v>0.37000000476837103</v>
      </c>
      <c r="BA30">
        <v>0.375</v>
      </c>
      <c r="BB30">
        <v>0.34799998998641901</v>
      </c>
      <c r="BC30">
        <v>0.36000001430511402</v>
      </c>
      <c r="BD30">
        <v>0.36000001430511402</v>
      </c>
      <c r="BE30">
        <v>0</v>
      </c>
      <c r="BF30">
        <v>0.5</v>
      </c>
      <c r="BG30">
        <v>-2.7027000903735301E-2</v>
      </c>
      <c r="BH30">
        <v>0.115999956728535</v>
      </c>
      <c r="BI30">
        <v>0.32590000331401803</v>
      </c>
      <c r="BJ30">
        <f t="shared" si="0"/>
        <v>-1.9637783666090265E-2</v>
      </c>
    </row>
    <row r="31" spans="1:62">
      <c r="A31" s="2">
        <v>44631</v>
      </c>
      <c r="B31">
        <v>158.92999267578099</v>
      </c>
      <c r="C31">
        <v>159.27999877929599</v>
      </c>
      <c r="D31">
        <v>154.5</v>
      </c>
      <c r="E31">
        <v>154.72999572753901</v>
      </c>
      <c r="F31">
        <v>152.98176574707</v>
      </c>
      <c r="G31">
        <v>96970100</v>
      </c>
      <c r="H31">
        <v>0.1</v>
      </c>
      <c r="I31">
        <v>-2.3908708319283701E-2</v>
      </c>
      <c r="J31">
        <v>1.8538796583381E-2</v>
      </c>
      <c r="K31">
        <v>161.72199859619101</v>
      </c>
      <c r="L31">
        <v>133.48849487304599</v>
      </c>
      <c r="M31">
        <v>133.79550170898401</v>
      </c>
      <c r="N31">
        <v>129.63150024414</v>
      </c>
      <c r="O31">
        <v>129.87049865722599</v>
      </c>
      <c r="P31">
        <v>129.87049865722599</v>
      </c>
      <c r="Q31">
        <v>31526000</v>
      </c>
      <c r="R31">
        <v>0.1</v>
      </c>
      <c r="S31">
        <v>-1.9323531783981801E-2</v>
      </c>
      <c r="T31">
        <v>2.2726775817173299E-2</v>
      </c>
      <c r="U31">
        <v>131.86990051269501</v>
      </c>
      <c r="V31">
        <v>287.95999145507801</v>
      </c>
      <c r="W31">
        <v>289.510009765625</v>
      </c>
      <c r="X31">
        <v>279.42999267578102</v>
      </c>
      <c r="Y31">
        <v>280.07000732421801</v>
      </c>
      <c r="Z31">
        <v>275.09136962890602</v>
      </c>
      <c r="AA31">
        <v>27209300</v>
      </c>
      <c r="AB31">
        <v>0.1</v>
      </c>
      <c r="AC31">
        <v>-1.93283696363825E-2</v>
      </c>
      <c r="AD31">
        <v>2.3236178712088201E-2</v>
      </c>
      <c r="AE31">
        <v>288.86300354003902</v>
      </c>
      <c r="AF31">
        <v>169.13000488281199</v>
      </c>
      <c r="AG31">
        <v>171.46000671386699</v>
      </c>
      <c r="AH31">
        <v>169.02000427246</v>
      </c>
      <c r="AI31">
        <v>169.350006103515</v>
      </c>
      <c r="AJ31">
        <v>159.96803283691401</v>
      </c>
      <c r="AK31">
        <v>5188000</v>
      </c>
      <c r="AL31">
        <v>0.1</v>
      </c>
      <c r="AM31">
        <v>-1.82716934989068E-3</v>
      </c>
      <c r="AN31">
        <v>1.6055107611392599E-2</v>
      </c>
      <c r="AO31">
        <v>168.18700103759701</v>
      </c>
      <c r="AP31">
        <v>57.959999084472599</v>
      </c>
      <c r="AQ31">
        <v>58.849998474121001</v>
      </c>
      <c r="AR31">
        <v>57.860000610351499</v>
      </c>
      <c r="AS31">
        <v>57.919998168945298</v>
      </c>
      <c r="AT31">
        <v>54.102363586425703</v>
      </c>
      <c r="AU31">
        <v>19855600</v>
      </c>
      <c r="AV31">
        <v>0.1</v>
      </c>
      <c r="AW31">
        <v>6.9103490138178105E-4</v>
      </c>
      <c r="AX31">
        <v>1.6668303601543699E-2</v>
      </c>
      <c r="AY31">
        <v>60.618000411987303</v>
      </c>
      <c r="AZ31">
        <v>0.365000009536743</v>
      </c>
      <c r="BA31">
        <v>0.365000009536743</v>
      </c>
      <c r="BB31">
        <v>0.34999999403953502</v>
      </c>
      <c r="BC31">
        <v>0.365000009536743</v>
      </c>
      <c r="BD31">
        <v>0.365000009536743</v>
      </c>
      <c r="BE31">
        <v>0</v>
      </c>
      <c r="BF31">
        <v>0.5</v>
      </c>
      <c r="BG31">
        <v>1.3888875091518E-2</v>
      </c>
      <c r="BH31">
        <v>8.1699306857153001E-2</v>
      </c>
      <c r="BI31">
        <v>0.33260000348091101</v>
      </c>
      <c r="BJ31">
        <f t="shared" si="0"/>
        <v>5.7476312694330943E-4</v>
      </c>
    </row>
    <row r="32" spans="1:62">
      <c r="A32" s="2">
        <v>44634</v>
      </c>
      <c r="B32">
        <v>151.44999694824199</v>
      </c>
      <c r="C32">
        <v>154.11999511718699</v>
      </c>
      <c r="D32">
        <v>150.100006103515</v>
      </c>
      <c r="E32">
        <v>150.61999511718699</v>
      </c>
      <c r="F32">
        <v>148.91818237304599</v>
      </c>
      <c r="G32">
        <v>108732100</v>
      </c>
      <c r="H32">
        <v>0.1</v>
      </c>
      <c r="I32">
        <v>-2.6562403695717701E-2</v>
      </c>
      <c r="J32">
        <v>1.88616749666186E-2</v>
      </c>
      <c r="K32">
        <v>160.271998596191</v>
      </c>
      <c r="L32">
        <v>130.25</v>
      </c>
      <c r="M32">
        <v>130.40899658203099</v>
      </c>
      <c r="N32">
        <v>125.275001525878</v>
      </c>
      <c r="O32">
        <v>125.950996398925</v>
      </c>
      <c r="P32">
        <v>125.950996398925</v>
      </c>
      <c r="Q32">
        <v>38812000</v>
      </c>
      <c r="R32">
        <v>0.1</v>
      </c>
      <c r="S32">
        <v>-3.01800816877257E-2</v>
      </c>
      <c r="T32">
        <v>2.26552928629584E-2</v>
      </c>
      <c r="U32">
        <v>130.959299468994</v>
      </c>
      <c r="V32">
        <v>280.33999633789</v>
      </c>
      <c r="W32">
        <v>285.39999389648398</v>
      </c>
      <c r="X32">
        <v>275.82000732421801</v>
      </c>
      <c r="Y32">
        <v>276.44000244140602</v>
      </c>
      <c r="Z32">
        <v>271.52590942382801</v>
      </c>
      <c r="AA32">
        <v>30660700</v>
      </c>
      <c r="AB32">
        <v>0.1</v>
      </c>
      <c r="AC32">
        <v>-1.29610625482302E-2</v>
      </c>
      <c r="AD32">
        <v>2.28399891457104E-2</v>
      </c>
      <c r="AE32">
        <v>286.628002929687</v>
      </c>
      <c r="AF32">
        <v>170.67999267578099</v>
      </c>
      <c r="AG32">
        <v>174.11999511718699</v>
      </c>
      <c r="AH32">
        <v>170.350006103515</v>
      </c>
      <c r="AI32">
        <v>171.69000244140599</v>
      </c>
      <c r="AJ32">
        <v>162.17842102050699</v>
      </c>
      <c r="AK32">
        <v>7729500</v>
      </c>
      <c r="AL32">
        <v>0.1</v>
      </c>
      <c r="AM32">
        <v>1.38175155214361E-2</v>
      </c>
      <c r="AN32">
        <v>1.6146111856035199E-2</v>
      </c>
      <c r="AO32">
        <v>168.89900054931601</v>
      </c>
      <c r="AP32">
        <v>57.970001220703097</v>
      </c>
      <c r="AQ32">
        <v>59.040000915527301</v>
      </c>
      <c r="AR32">
        <v>57.970001220703097</v>
      </c>
      <c r="AS32">
        <v>58.540000915527301</v>
      </c>
      <c r="AT32">
        <v>55.100078582763601</v>
      </c>
      <c r="AU32">
        <v>17799400</v>
      </c>
      <c r="AV32">
        <v>0.1</v>
      </c>
      <c r="AW32">
        <v>1.07044676481784E-2</v>
      </c>
      <c r="AX32">
        <v>1.6535325630951701E-2</v>
      </c>
      <c r="AY32">
        <v>60.248000335693298</v>
      </c>
      <c r="AZ32">
        <v>0.37299999594688399</v>
      </c>
      <c r="BA32">
        <v>0.38800001144409102</v>
      </c>
      <c r="BB32">
        <v>0.36300000548362699</v>
      </c>
      <c r="BC32">
        <v>0.37799999117851202</v>
      </c>
      <c r="BD32">
        <v>0.37799999117851202</v>
      </c>
      <c r="BE32">
        <v>0</v>
      </c>
      <c r="BF32">
        <v>0.5</v>
      </c>
      <c r="BG32">
        <v>3.5616387129054898E-2</v>
      </c>
      <c r="BH32">
        <v>7.9224118711815894E-2</v>
      </c>
      <c r="BI32">
        <v>0.341600003838539</v>
      </c>
      <c r="BJ32">
        <f t="shared" si="0"/>
        <v>1.3290037088321539E-2</v>
      </c>
    </row>
    <row r="33" spans="1:62">
      <c r="A33" s="2">
        <v>44635</v>
      </c>
      <c r="B33">
        <v>150.89999389648401</v>
      </c>
      <c r="C33">
        <v>155.57000732421801</v>
      </c>
      <c r="D33">
        <v>150.38000488281199</v>
      </c>
      <c r="E33">
        <v>155.08999633789</v>
      </c>
      <c r="F33">
        <v>153.33769226074199</v>
      </c>
      <c r="G33">
        <v>92964300</v>
      </c>
      <c r="H33">
        <v>0.1</v>
      </c>
      <c r="I33">
        <v>2.9677342754030198E-2</v>
      </c>
      <c r="J33">
        <v>2.04001477453815E-2</v>
      </c>
      <c r="K33">
        <v>159.46099853515599</v>
      </c>
      <c r="L33">
        <v>126.97599792480401</v>
      </c>
      <c r="M33">
        <v>129.85450744628901</v>
      </c>
      <c r="N33">
        <v>125.720497131347</v>
      </c>
      <c r="O33">
        <v>129.197998046875</v>
      </c>
      <c r="P33">
        <v>129.197998046875</v>
      </c>
      <c r="Q33">
        <v>30920000</v>
      </c>
      <c r="R33">
        <v>0.1</v>
      </c>
      <c r="S33">
        <v>2.5779880594711299E-2</v>
      </c>
      <c r="T33">
        <v>2.3412550885565899E-2</v>
      </c>
      <c r="U33">
        <v>130.472949981689</v>
      </c>
      <c r="V33">
        <v>280.350006103515</v>
      </c>
      <c r="W33">
        <v>287.82000732421801</v>
      </c>
      <c r="X33">
        <v>278.73001098632801</v>
      </c>
      <c r="Y33">
        <v>287.14999389648398</v>
      </c>
      <c r="Z33">
        <v>282.04547119140602</v>
      </c>
      <c r="AA33">
        <v>34245100</v>
      </c>
      <c r="AB33">
        <v>0.1</v>
      </c>
      <c r="AC33">
        <v>3.8742553033178397E-2</v>
      </c>
      <c r="AD33">
        <v>2.4677621155283502E-2</v>
      </c>
      <c r="AE33">
        <v>285.84800109863198</v>
      </c>
      <c r="AF33">
        <v>173.33000183105401</v>
      </c>
      <c r="AG33">
        <v>176.52000427246</v>
      </c>
      <c r="AH33">
        <v>172.55000305175699</v>
      </c>
      <c r="AI33">
        <v>176.13999938964801</v>
      </c>
      <c r="AJ33">
        <v>166.38186645507801</v>
      </c>
      <c r="AK33">
        <v>10554400</v>
      </c>
      <c r="AL33">
        <v>0.1</v>
      </c>
      <c r="AM33">
        <v>2.5918789009050602E-2</v>
      </c>
      <c r="AN33">
        <v>1.6690466816817101E-2</v>
      </c>
      <c r="AO33">
        <v>170.11300048828099</v>
      </c>
      <c r="AP33">
        <v>59.080001831054602</v>
      </c>
      <c r="AQ33">
        <v>59.889999389648402</v>
      </c>
      <c r="AR33">
        <v>58.9799995422363</v>
      </c>
      <c r="AS33">
        <v>59.619998931884702</v>
      </c>
      <c r="AT33">
        <v>56.116615295410099</v>
      </c>
      <c r="AU33">
        <v>18607200</v>
      </c>
      <c r="AV33">
        <v>0.1</v>
      </c>
      <c r="AW33">
        <v>1.8448889638998201E-2</v>
      </c>
      <c r="AX33">
        <v>1.7042375977151001E-2</v>
      </c>
      <c r="AY33">
        <v>60.013000106811504</v>
      </c>
      <c r="AZ33">
        <v>0.44999998807907099</v>
      </c>
      <c r="BA33">
        <v>0.44999998807907099</v>
      </c>
      <c r="BB33">
        <v>0.44499999284744202</v>
      </c>
      <c r="BC33">
        <v>0.44800001382827698</v>
      </c>
      <c r="BD33">
        <v>0.44800001382827698</v>
      </c>
      <c r="BE33">
        <v>0</v>
      </c>
      <c r="BF33">
        <v>0.5</v>
      </c>
      <c r="BG33">
        <v>0.185185249426916</v>
      </c>
      <c r="BH33">
        <v>8.7815925856936095E-2</v>
      </c>
      <c r="BI33">
        <v>0.35510000586509699</v>
      </c>
      <c r="BJ33">
        <f t="shared" si="0"/>
        <v>0.10644937021645487</v>
      </c>
    </row>
    <row r="34" spans="1:62">
      <c r="A34" s="2">
        <v>44636</v>
      </c>
      <c r="B34">
        <v>157.05000305175699</v>
      </c>
      <c r="C34">
        <v>160</v>
      </c>
      <c r="D34">
        <v>154.46000671386699</v>
      </c>
      <c r="E34">
        <v>159.58999633789</v>
      </c>
      <c r="F34">
        <v>157.78681945800699</v>
      </c>
      <c r="G34">
        <v>102300200</v>
      </c>
      <c r="H34">
        <v>0.1</v>
      </c>
      <c r="I34">
        <v>2.9015411091995499E-2</v>
      </c>
      <c r="J34">
        <v>2.0848852264692401E-2</v>
      </c>
      <c r="K34">
        <v>158.76399841308501</v>
      </c>
      <c r="L34">
        <v>130.73300170898401</v>
      </c>
      <c r="M34">
        <v>133.33299255371</v>
      </c>
      <c r="N34">
        <v>128.73449707031199</v>
      </c>
      <c r="O34">
        <v>133.280502319335</v>
      </c>
      <c r="P34">
        <v>133.280502319335</v>
      </c>
      <c r="Q34">
        <v>35576000</v>
      </c>
      <c r="R34">
        <v>0.1</v>
      </c>
      <c r="S34">
        <v>3.1598819905705698E-2</v>
      </c>
      <c r="T34">
        <v>2.4518663174028898E-2</v>
      </c>
      <c r="U34">
        <v>130.343849945068</v>
      </c>
      <c r="V34">
        <v>289.10998535156199</v>
      </c>
      <c r="W34">
        <v>294.57000732421801</v>
      </c>
      <c r="X34">
        <v>283.20001220703102</v>
      </c>
      <c r="Y34">
        <v>294.39001464843699</v>
      </c>
      <c r="Z34">
        <v>289.15682983398398</v>
      </c>
      <c r="AA34">
        <v>37826300</v>
      </c>
      <c r="AB34">
        <v>0.1</v>
      </c>
      <c r="AC34">
        <v>2.52133759562716E-2</v>
      </c>
      <c r="AD34">
        <v>2.4999522302092101E-2</v>
      </c>
      <c r="AE34">
        <v>285.26800231933498</v>
      </c>
      <c r="AF34">
        <v>175.46000671386699</v>
      </c>
      <c r="AG34">
        <v>176.94999694824199</v>
      </c>
      <c r="AH34">
        <v>172.55999755859301</v>
      </c>
      <c r="AI34">
        <v>174.52000427246</v>
      </c>
      <c r="AJ34">
        <v>164.85160827636699</v>
      </c>
      <c r="AK34">
        <v>9603300</v>
      </c>
      <c r="AL34">
        <v>0.1</v>
      </c>
      <c r="AM34">
        <v>-9.1972017872204992E-3</v>
      </c>
      <c r="AN34">
        <v>1.6823416686224099E-2</v>
      </c>
      <c r="AO34">
        <v>170.96100158691399</v>
      </c>
      <c r="AP34">
        <v>59.779998779296797</v>
      </c>
      <c r="AQ34">
        <v>59.939998626708899</v>
      </c>
      <c r="AR34">
        <v>58.610000610351499</v>
      </c>
      <c r="AS34">
        <v>59.459999084472599</v>
      </c>
      <c r="AT34">
        <v>55.966018676757798</v>
      </c>
      <c r="AU34">
        <v>17347300</v>
      </c>
      <c r="AV34">
        <v>0.1</v>
      </c>
      <c r="AW34">
        <v>-2.6836606890064899E-3</v>
      </c>
      <c r="AX34">
        <v>1.7013204405730099E-2</v>
      </c>
      <c r="AY34">
        <v>59.715999984741202</v>
      </c>
      <c r="AZ34">
        <v>0.46000000834464999</v>
      </c>
      <c r="BA34">
        <v>0.46500000357627802</v>
      </c>
      <c r="BB34">
        <v>0.43000000715255698</v>
      </c>
      <c r="BC34">
        <v>0.432999998331069</v>
      </c>
      <c r="BD34">
        <v>0.432999998331069</v>
      </c>
      <c r="BE34">
        <v>0</v>
      </c>
      <c r="BF34">
        <v>0.5</v>
      </c>
      <c r="BG34">
        <v>-3.3482176415640198E-2</v>
      </c>
      <c r="BH34">
        <v>8.5371290557619994E-2</v>
      </c>
      <c r="BI34">
        <v>0.365900006890296</v>
      </c>
      <c r="BJ34">
        <f t="shared" si="0"/>
        <v>-9.3464137600455174E-3</v>
      </c>
    </row>
    <row r="35" spans="1:62">
      <c r="A35" s="2">
        <v>44637</v>
      </c>
      <c r="B35">
        <v>158.61000061035099</v>
      </c>
      <c r="C35">
        <v>161</v>
      </c>
      <c r="D35">
        <v>157.63000488281199</v>
      </c>
      <c r="E35">
        <v>160.61999511718699</v>
      </c>
      <c r="F35">
        <v>158.80522155761699</v>
      </c>
      <c r="G35">
        <v>75615400</v>
      </c>
      <c r="H35">
        <v>0.1</v>
      </c>
      <c r="I35">
        <v>6.45403097269414E-3</v>
      </c>
      <c r="J35">
        <v>2.09692060761703E-2</v>
      </c>
      <c r="K35">
        <v>158.20299835205</v>
      </c>
      <c r="L35">
        <v>133.149002075195</v>
      </c>
      <c r="M35">
        <v>134.08050537109301</v>
      </c>
      <c r="N35">
        <v>132.18499755859301</v>
      </c>
      <c r="O35">
        <v>133.83900451660099</v>
      </c>
      <c r="P35">
        <v>133.83900451660099</v>
      </c>
      <c r="Q35">
        <v>28264000</v>
      </c>
      <c r="R35">
        <v>0.1</v>
      </c>
      <c r="S35">
        <v>4.1904268632442197E-3</v>
      </c>
      <c r="T35">
        <v>2.4454863212940801E-2</v>
      </c>
      <c r="U35">
        <v>130.337799835205</v>
      </c>
      <c r="V35">
        <v>293.29000854492102</v>
      </c>
      <c r="W35">
        <v>295.60998535156199</v>
      </c>
      <c r="X35">
        <v>289.36999511718699</v>
      </c>
      <c r="Y35">
        <v>295.22000122070301</v>
      </c>
      <c r="Z35">
        <v>289.972076416015</v>
      </c>
      <c r="AA35">
        <v>30816600</v>
      </c>
      <c r="AB35">
        <v>0.1</v>
      </c>
      <c r="AC35">
        <v>2.8193434932117698E-3</v>
      </c>
      <c r="AD35">
        <v>2.5004261379998699E-2</v>
      </c>
      <c r="AE35">
        <v>285.19800109863201</v>
      </c>
      <c r="AF35">
        <v>175.21000671386699</v>
      </c>
      <c r="AG35">
        <v>176.83999633789</v>
      </c>
      <c r="AH35">
        <v>174.19999694824199</v>
      </c>
      <c r="AI35">
        <v>176.80000305175699</v>
      </c>
      <c r="AJ35">
        <v>167.00531005859301</v>
      </c>
      <c r="AK35">
        <v>7472100</v>
      </c>
      <c r="AL35">
        <v>0.1</v>
      </c>
      <c r="AM35">
        <v>1.3064397911298001E-2</v>
      </c>
      <c r="AN35">
        <v>1.6978594211317699E-2</v>
      </c>
      <c r="AO35">
        <v>171.79300231933499</v>
      </c>
      <c r="AP35">
        <v>59.459999084472599</v>
      </c>
      <c r="AQ35">
        <v>60.139999389648402</v>
      </c>
      <c r="AR35">
        <v>59.2299995422363</v>
      </c>
      <c r="AS35">
        <v>60.090000152587798</v>
      </c>
      <c r="AT35">
        <v>56.558994293212798</v>
      </c>
      <c r="AU35">
        <v>15586200</v>
      </c>
      <c r="AV35">
        <v>0.1</v>
      </c>
      <c r="AW35">
        <v>1.059537635075E-2</v>
      </c>
      <c r="AX35">
        <v>1.7212183080041899E-2</v>
      </c>
      <c r="AY35">
        <v>59.477999877929598</v>
      </c>
      <c r="AZ35">
        <v>0.37000000476837103</v>
      </c>
      <c r="BA35">
        <v>0.37299999594688399</v>
      </c>
      <c r="BB35">
        <v>0.35299998521804798</v>
      </c>
      <c r="BC35">
        <v>0.36000001430511402</v>
      </c>
      <c r="BD35">
        <v>0.36000001430511402</v>
      </c>
      <c r="BE35">
        <v>0</v>
      </c>
      <c r="BF35">
        <v>0.5</v>
      </c>
      <c r="BG35">
        <v>-0.16859118777672499</v>
      </c>
      <c r="BH35">
        <v>9.2714999110360199E-2</v>
      </c>
      <c r="BI35">
        <v>0.368400007486343</v>
      </c>
      <c r="BJ35">
        <f t="shared" si="0"/>
        <v>-8.0583236329242663E-2</v>
      </c>
    </row>
    <row r="36" spans="1:62">
      <c r="A36" s="2">
        <v>44638</v>
      </c>
      <c r="B36">
        <v>160.509994506835</v>
      </c>
      <c r="C36">
        <v>164.47999572753901</v>
      </c>
      <c r="D36">
        <v>159.759994506835</v>
      </c>
      <c r="E36">
        <v>163.97999572753901</v>
      </c>
      <c r="F36">
        <v>162.12724304199199</v>
      </c>
      <c r="G36">
        <v>123511700</v>
      </c>
      <c r="H36">
        <v>0.1</v>
      </c>
      <c r="I36">
        <v>2.09189435468486E-2</v>
      </c>
      <c r="J36">
        <v>2.1194375952181901E-2</v>
      </c>
      <c r="K36">
        <v>158.28399810791001</v>
      </c>
      <c r="L36">
        <v>133.42449951171801</v>
      </c>
      <c r="M36">
        <v>136.24400329589801</v>
      </c>
      <c r="N36">
        <v>132.25849914550699</v>
      </c>
      <c r="O36">
        <v>136.12550354003901</v>
      </c>
      <c r="P36">
        <v>136.12550354003901</v>
      </c>
      <c r="Q36">
        <v>44566000</v>
      </c>
      <c r="R36">
        <v>0.1</v>
      </c>
      <c r="S36">
        <v>1.70839512120988E-2</v>
      </c>
      <c r="T36">
        <v>2.31765514527594E-2</v>
      </c>
      <c r="U36">
        <v>130.759700775146</v>
      </c>
      <c r="V36">
        <v>295.36999511718699</v>
      </c>
      <c r="W36">
        <v>301</v>
      </c>
      <c r="X36">
        <v>292.73001098632801</v>
      </c>
      <c r="Y36">
        <v>300.42999267578102</v>
      </c>
      <c r="Z36">
        <v>295.08941650390602</v>
      </c>
      <c r="AA36">
        <v>43390600</v>
      </c>
      <c r="AB36">
        <v>0.1</v>
      </c>
      <c r="AC36">
        <v>1.7647826819102201E-2</v>
      </c>
      <c r="AD36">
        <v>2.4347130142081699E-2</v>
      </c>
      <c r="AE36">
        <v>286.25500183105402</v>
      </c>
      <c r="AF36">
        <v>177</v>
      </c>
      <c r="AG36">
        <v>177</v>
      </c>
      <c r="AH36">
        <v>173.66000366210901</v>
      </c>
      <c r="AI36">
        <v>174.83999633789</v>
      </c>
      <c r="AJ36">
        <v>165.15390014648401</v>
      </c>
      <c r="AK36">
        <v>13809500</v>
      </c>
      <c r="AL36">
        <v>0.1</v>
      </c>
      <c r="AM36">
        <v>-1.10860106336841E-2</v>
      </c>
      <c r="AN36">
        <v>1.71538218329386E-2</v>
      </c>
      <c r="AO36">
        <v>172.32900238037101</v>
      </c>
      <c r="AP36">
        <v>60.299999237060497</v>
      </c>
      <c r="AQ36">
        <v>60.299999237060497</v>
      </c>
      <c r="AR36">
        <v>59.709999084472599</v>
      </c>
      <c r="AS36">
        <v>60.099998474121001</v>
      </c>
      <c r="AT36">
        <v>56.568408966064403</v>
      </c>
      <c r="AU36">
        <v>30197800</v>
      </c>
      <c r="AV36">
        <v>0.1</v>
      </c>
      <c r="AW36">
        <v>1.6638910813471201E-4</v>
      </c>
      <c r="AX36">
        <v>1.6522576454996399E-2</v>
      </c>
      <c r="AY36">
        <v>59.230999755859301</v>
      </c>
      <c r="AZ36">
        <v>0.35800001025199801</v>
      </c>
      <c r="BA36">
        <v>0.384999990463256</v>
      </c>
      <c r="BB36">
        <v>0.35299998521804798</v>
      </c>
      <c r="BC36">
        <v>0.38299998641014099</v>
      </c>
      <c r="BD36">
        <v>0.38299998641014099</v>
      </c>
      <c r="BE36">
        <v>0</v>
      </c>
      <c r="BF36">
        <v>0.5</v>
      </c>
      <c r="BG36">
        <v>6.38888088641376E-2</v>
      </c>
      <c r="BH36">
        <v>9.1812037661320095E-2</v>
      </c>
      <c r="BI36">
        <v>0.37620000541210102</v>
      </c>
      <c r="BJ36">
        <f t="shared" si="0"/>
        <v>3.6417514437318825E-2</v>
      </c>
    </row>
    <row r="37" spans="1:62">
      <c r="A37" s="2">
        <v>44641</v>
      </c>
      <c r="B37">
        <v>163.509994506835</v>
      </c>
      <c r="C37">
        <v>166.350006103515</v>
      </c>
      <c r="D37">
        <v>163.009994506835</v>
      </c>
      <c r="E37">
        <v>165.38000488281199</v>
      </c>
      <c r="F37">
        <v>163.51144409179599</v>
      </c>
      <c r="G37">
        <v>95811400</v>
      </c>
      <c r="H37">
        <v>0.1</v>
      </c>
      <c r="I37">
        <v>8.5376825939160704E-3</v>
      </c>
      <c r="J37">
        <v>2.1212227053904902E-2</v>
      </c>
      <c r="K37">
        <v>158.891998291015</v>
      </c>
      <c r="L37">
        <v>136.16349792480401</v>
      </c>
      <c r="M37">
        <v>137.05000305175699</v>
      </c>
      <c r="N37">
        <v>134.09249877929599</v>
      </c>
      <c r="O37">
        <v>136.10150146484301</v>
      </c>
      <c r="P37">
        <v>136.10150146484301</v>
      </c>
      <c r="Q37">
        <v>26832000</v>
      </c>
      <c r="R37">
        <v>0.1</v>
      </c>
      <c r="S37">
        <v>-1.76323132485278E-4</v>
      </c>
      <c r="T37">
        <v>2.2806767681800899E-2</v>
      </c>
      <c r="U37">
        <v>131.732000732421</v>
      </c>
      <c r="V37">
        <v>298.89001464843699</v>
      </c>
      <c r="W37">
        <v>300.14001464843699</v>
      </c>
      <c r="X37">
        <v>294.89999389648398</v>
      </c>
      <c r="Y37">
        <v>299.16000366210898</v>
      </c>
      <c r="Z37">
        <v>293.84194946289</v>
      </c>
      <c r="AA37">
        <v>28351200</v>
      </c>
      <c r="AB37">
        <v>0.1</v>
      </c>
      <c r="AC37">
        <v>-4.2272377746332898E-3</v>
      </c>
      <c r="AD37">
        <v>2.4241943654694498E-2</v>
      </c>
      <c r="AE37">
        <v>288.28000183105399</v>
      </c>
      <c r="AF37">
        <v>174.66000366210901</v>
      </c>
      <c r="AG37">
        <v>177.16000366210901</v>
      </c>
      <c r="AH37">
        <v>174.32000732421801</v>
      </c>
      <c r="AI37">
        <v>175.83000183105401</v>
      </c>
      <c r="AJ37">
        <v>166.08905029296801</v>
      </c>
      <c r="AK37">
        <v>7574900</v>
      </c>
      <c r="AL37">
        <v>0.1</v>
      </c>
      <c r="AM37">
        <v>5.6623513721127897E-3</v>
      </c>
      <c r="AN37">
        <v>1.65205037414057E-2</v>
      </c>
      <c r="AO37">
        <v>172.69100189208899</v>
      </c>
      <c r="AP37">
        <v>60.5</v>
      </c>
      <c r="AQ37">
        <v>61.099998474121001</v>
      </c>
      <c r="AR37">
        <v>60.25</v>
      </c>
      <c r="AS37">
        <v>60.580001831054602</v>
      </c>
      <c r="AT37">
        <v>57.0202026367187</v>
      </c>
      <c r="AU37">
        <v>17440100</v>
      </c>
      <c r="AV37">
        <v>0.1</v>
      </c>
      <c r="AW37">
        <v>7.9867449104891099E-3</v>
      </c>
      <c r="AX37">
        <v>1.6557149763877801E-2</v>
      </c>
      <c r="AY37">
        <v>59.180999755859297</v>
      </c>
      <c r="AZ37">
        <v>0.37999999523162797</v>
      </c>
      <c r="BA37">
        <v>0.46799999475479098</v>
      </c>
      <c r="BB37">
        <v>0.37999999523162797</v>
      </c>
      <c r="BC37">
        <v>0.45500001311302102</v>
      </c>
      <c r="BD37">
        <v>0.45500001311302102</v>
      </c>
      <c r="BE37">
        <v>0</v>
      </c>
      <c r="BF37">
        <v>0.5</v>
      </c>
      <c r="BG37">
        <v>0.18798963252645801</v>
      </c>
      <c r="BH37">
        <v>9.7573414745107306E-2</v>
      </c>
      <c r="BI37">
        <v>0.39120000600814803</v>
      </c>
      <c r="BJ37">
        <f t="shared" si="0"/>
        <v>9.5773138060168947E-2</v>
      </c>
    </row>
    <row r="38" spans="1:62">
      <c r="A38" s="2">
        <v>44642</v>
      </c>
      <c r="B38">
        <v>165.509994506835</v>
      </c>
      <c r="C38">
        <v>169.419998168945</v>
      </c>
      <c r="D38">
        <v>164.91000366210901</v>
      </c>
      <c r="E38">
        <v>168.82000732421801</v>
      </c>
      <c r="F38">
        <v>166.91258239746</v>
      </c>
      <c r="G38">
        <v>81532000</v>
      </c>
      <c r="H38">
        <v>0.1</v>
      </c>
      <c r="I38">
        <v>2.08005946295855E-2</v>
      </c>
      <c r="J38">
        <v>2.12975570801795E-2</v>
      </c>
      <c r="K38">
        <v>160.02999877929599</v>
      </c>
      <c r="L38">
        <v>136.10150146484301</v>
      </c>
      <c r="M38">
        <v>141.05000305175699</v>
      </c>
      <c r="N38">
        <v>136.10150146484301</v>
      </c>
      <c r="O38">
        <v>139.86799621582</v>
      </c>
      <c r="P38">
        <v>139.86799621582</v>
      </c>
      <c r="Q38">
        <v>35496000</v>
      </c>
      <c r="R38">
        <v>0.1</v>
      </c>
      <c r="S38">
        <v>2.7674160170447899E-2</v>
      </c>
      <c r="T38">
        <v>2.3421485192693201E-2</v>
      </c>
      <c r="U38">
        <v>133.008350372314</v>
      </c>
      <c r="V38">
        <v>299.79998779296801</v>
      </c>
      <c r="W38">
        <v>305</v>
      </c>
      <c r="X38">
        <v>298.76998901367102</v>
      </c>
      <c r="Y38">
        <v>304.05999755859301</v>
      </c>
      <c r="Z38">
        <v>298.65493774414</v>
      </c>
      <c r="AA38">
        <v>27599700</v>
      </c>
      <c r="AB38">
        <v>0.1</v>
      </c>
      <c r="AC38">
        <v>1.6379174476875299E-2</v>
      </c>
      <c r="AD38">
        <v>2.4434553319174299E-2</v>
      </c>
      <c r="AE38">
        <v>291.10100097656198</v>
      </c>
      <c r="AF38">
        <v>175.83000183105401</v>
      </c>
      <c r="AG38">
        <v>176.36999511718699</v>
      </c>
      <c r="AH38">
        <v>173.91000366210901</v>
      </c>
      <c r="AI38">
        <v>175</v>
      </c>
      <c r="AJ38">
        <v>165.30503845214801</v>
      </c>
      <c r="AK38">
        <v>8442100</v>
      </c>
      <c r="AL38">
        <v>0.1</v>
      </c>
      <c r="AM38">
        <v>-4.7204789990969998E-3</v>
      </c>
      <c r="AN38">
        <v>1.61435220516686E-2</v>
      </c>
      <c r="AO38">
        <v>173.31900177001901</v>
      </c>
      <c r="AP38">
        <v>60.930000305175703</v>
      </c>
      <c r="AQ38">
        <v>60.950000762939403</v>
      </c>
      <c r="AR38">
        <v>60.060001373291001</v>
      </c>
      <c r="AS38">
        <v>60.799999237060497</v>
      </c>
      <c r="AT38">
        <v>57.227272033691399</v>
      </c>
      <c r="AU38">
        <v>17559500</v>
      </c>
      <c r="AV38">
        <v>0.1</v>
      </c>
      <c r="AW38">
        <v>3.6315186423960802E-3</v>
      </c>
      <c r="AX38">
        <v>1.6581957428469601E-2</v>
      </c>
      <c r="AY38">
        <v>59.3949996948242</v>
      </c>
      <c r="AZ38">
        <v>0.54299998283386197</v>
      </c>
      <c r="BA38">
        <v>0.54500001668929998</v>
      </c>
      <c r="BB38">
        <v>0.51499998569488503</v>
      </c>
      <c r="BC38">
        <v>0.51999998092651301</v>
      </c>
      <c r="BD38">
        <v>0.51999998092651301</v>
      </c>
      <c r="BE38">
        <v>0</v>
      </c>
      <c r="BF38">
        <v>0.5</v>
      </c>
      <c r="BG38">
        <v>0.14285706800044801</v>
      </c>
      <c r="BH38">
        <v>0.101196363344889</v>
      </c>
      <c r="BI38">
        <v>0.407200002670288</v>
      </c>
      <c r="BJ38">
        <f t="shared" si="0"/>
        <v>7.7805030892244775E-2</v>
      </c>
    </row>
    <row r="39" spans="1:62">
      <c r="A39" s="2">
        <v>44643</v>
      </c>
      <c r="B39">
        <v>167.99000549316401</v>
      </c>
      <c r="C39">
        <v>172.63999938964801</v>
      </c>
      <c r="D39">
        <v>167.64999389648401</v>
      </c>
      <c r="E39">
        <v>170.21000671386699</v>
      </c>
      <c r="F39">
        <v>168.28688049316401</v>
      </c>
      <c r="G39">
        <v>98062700</v>
      </c>
      <c r="H39">
        <v>0.1</v>
      </c>
      <c r="I39">
        <v>8.2336176362018901E-3</v>
      </c>
      <c r="J39">
        <v>2.0328839743788699E-2</v>
      </c>
      <c r="K39">
        <v>160.75599975585899</v>
      </c>
      <c r="L39">
        <v>138.70249938964801</v>
      </c>
      <c r="M39">
        <v>139.58850097656199</v>
      </c>
      <c r="N39">
        <v>137.83500671386699</v>
      </c>
      <c r="O39">
        <v>138.27549743652301</v>
      </c>
      <c r="P39">
        <v>138.27549743652301</v>
      </c>
      <c r="Q39">
        <v>25154000</v>
      </c>
      <c r="R39">
        <v>0.1</v>
      </c>
      <c r="S39">
        <v>-1.1385726702194199E-2</v>
      </c>
      <c r="T39">
        <v>2.3182109994544401E-2</v>
      </c>
      <c r="U39">
        <v>133.49390029907201</v>
      </c>
      <c r="V39">
        <v>300.510009765625</v>
      </c>
      <c r="W39">
        <v>303.23001098632801</v>
      </c>
      <c r="X39">
        <v>297.72000122070301</v>
      </c>
      <c r="Y39">
        <v>299.489990234375</v>
      </c>
      <c r="Z39">
        <v>294.16613769531199</v>
      </c>
      <c r="AA39">
        <v>25715400</v>
      </c>
      <c r="AB39">
        <v>0.1</v>
      </c>
      <c r="AC39">
        <v>-1.50299525123757E-2</v>
      </c>
      <c r="AD39">
        <v>2.38716369203817E-2</v>
      </c>
      <c r="AE39">
        <v>292.2</v>
      </c>
      <c r="AF39">
        <v>175.22999572753901</v>
      </c>
      <c r="AG39">
        <v>175.53999328613199</v>
      </c>
      <c r="AH39">
        <v>174.08999633789</v>
      </c>
      <c r="AI39">
        <v>174.33999633789</v>
      </c>
      <c r="AJ39">
        <v>164.68159484863199</v>
      </c>
      <c r="AK39">
        <v>5254200</v>
      </c>
      <c r="AL39">
        <v>0.1</v>
      </c>
      <c r="AM39">
        <v>-3.77144949776786E-3</v>
      </c>
      <c r="AN39">
        <v>1.6223845872644201E-2</v>
      </c>
      <c r="AO39">
        <v>173.81700134277301</v>
      </c>
      <c r="AP39">
        <v>60.75</v>
      </c>
      <c r="AQ39">
        <v>60.9799995422363</v>
      </c>
      <c r="AR39">
        <v>60</v>
      </c>
      <c r="AS39">
        <v>60.400001525878899</v>
      </c>
      <c r="AT39">
        <v>56.850780487060497</v>
      </c>
      <c r="AU39">
        <v>15529200</v>
      </c>
      <c r="AV39">
        <v>0.1</v>
      </c>
      <c r="AW39">
        <v>-6.5789098059366698E-3</v>
      </c>
      <c r="AX39">
        <v>1.6469156344761898E-2</v>
      </c>
      <c r="AY39">
        <v>59.5389999389648</v>
      </c>
      <c r="AZ39">
        <v>0.50999999046325595</v>
      </c>
      <c r="BA39">
        <v>0.50999999046325595</v>
      </c>
      <c r="BB39">
        <v>0.47799998521804798</v>
      </c>
      <c r="BC39">
        <v>0.479999989271163</v>
      </c>
      <c r="BD39">
        <v>0.479999989271163</v>
      </c>
      <c r="BE39">
        <v>0</v>
      </c>
      <c r="BF39">
        <v>0.5</v>
      </c>
      <c r="BG39">
        <v>-7.6923063697193705E-2</v>
      </c>
      <c r="BH39">
        <v>0.103864475211395</v>
      </c>
      <c r="BI39">
        <v>0.41820000112056699</v>
      </c>
      <c r="BJ39">
        <f t="shared" si="0"/>
        <v>-4.1314773936804113E-2</v>
      </c>
    </row>
    <row r="40" spans="1:62">
      <c r="A40" s="2">
        <v>44644</v>
      </c>
      <c r="B40">
        <v>171.05999755859301</v>
      </c>
      <c r="C40">
        <v>174.13999938964801</v>
      </c>
      <c r="D40">
        <v>170.21000671386699</v>
      </c>
      <c r="E40">
        <v>174.07000732421801</v>
      </c>
      <c r="F40">
        <v>172.10328674316401</v>
      </c>
      <c r="G40">
        <v>90131400</v>
      </c>
      <c r="H40">
        <v>0.1</v>
      </c>
      <c r="I40">
        <v>2.2677871206717201E-2</v>
      </c>
      <c r="J40">
        <v>2.05797338013449E-2</v>
      </c>
      <c r="K40">
        <v>162.311000061035</v>
      </c>
      <c r="L40">
        <v>139.19999694824199</v>
      </c>
      <c r="M40">
        <v>141.61900329589801</v>
      </c>
      <c r="N40">
        <v>137.75050354003901</v>
      </c>
      <c r="O40">
        <v>141.572006225585</v>
      </c>
      <c r="P40">
        <v>141.572006225585</v>
      </c>
      <c r="Q40">
        <v>26396000</v>
      </c>
      <c r="R40">
        <v>0.1</v>
      </c>
      <c r="S40">
        <v>2.38401513657602E-2</v>
      </c>
      <c r="T40">
        <v>2.2129825053822001E-2</v>
      </c>
      <c r="U40">
        <v>134.40815048217701</v>
      </c>
      <c r="V40">
        <v>299.14001464843699</v>
      </c>
      <c r="W40">
        <v>304.20001220703102</v>
      </c>
      <c r="X40">
        <v>298.32000732421801</v>
      </c>
      <c r="Y40">
        <v>304.100006103515</v>
      </c>
      <c r="Z40">
        <v>298.69421386718699</v>
      </c>
      <c r="AA40">
        <v>24484500</v>
      </c>
      <c r="AB40">
        <v>0.1</v>
      </c>
      <c r="AC40">
        <v>1.5392887974429101E-2</v>
      </c>
      <c r="AD40">
        <v>2.1332228270871501E-2</v>
      </c>
      <c r="AE40">
        <v>294.05100097656202</v>
      </c>
      <c r="AF40">
        <v>175</v>
      </c>
      <c r="AG40">
        <v>175.53999328613199</v>
      </c>
      <c r="AH40">
        <v>174.07000732421801</v>
      </c>
      <c r="AI40">
        <v>175.24000549316401</v>
      </c>
      <c r="AJ40">
        <v>165.53173828125</v>
      </c>
      <c r="AK40">
        <v>5012300</v>
      </c>
      <c r="AL40">
        <v>0.1</v>
      </c>
      <c r="AM40">
        <v>5.1623791108101804E-3</v>
      </c>
      <c r="AN40">
        <v>1.5281681327154399E-2</v>
      </c>
      <c r="AO40">
        <v>174.37500152587799</v>
      </c>
      <c r="AP40">
        <v>60.639999389648402</v>
      </c>
      <c r="AQ40">
        <v>61.020000457763601</v>
      </c>
      <c r="AR40">
        <v>60.459999084472599</v>
      </c>
      <c r="AS40">
        <v>60.9799995422363</v>
      </c>
      <c r="AT40">
        <v>57.396694183349602</v>
      </c>
      <c r="AU40">
        <v>13151300</v>
      </c>
      <c r="AV40">
        <v>0.1</v>
      </c>
      <c r="AW40">
        <v>9.6026159222681803E-3</v>
      </c>
      <c r="AX40">
        <v>1.61363273626456E-2</v>
      </c>
      <c r="AY40">
        <v>59.848999786376901</v>
      </c>
      <c r="AZ40">
        <v>0.45500001311302102</v>
      </c>
      <c r="BA40">
        <v>0.48800000548362699</v>
      </c>
      <c r="BB40">
        <v>0.45500001311302102</v>
      </c>
      <c r="BC40">
        <v>0.48300001025199801</v>
      </c>
      <c r="BD40">
        <v>0.48300001025199801</v>
      </c>
      <c r="BE40">
        <v>0</v>
      </c>
      <c r="BF40">
        <v>0.5</v>
      </c>
      <c r="BG40">
        <v>6.2500438497721201E-3</v>
      </c>
      <c r="BH40">
        <v>9.39122343526477E-2</v>
      </c>
      <c r="BI40">
        <v>0.43050000071525502</v>
      </c>
      <c r="BJ40">
        <f t="shared" si="0"/>
        <v>1.0792612482884545E-2</v>
      </c>
    </row>
    <row r="41" spans="1:62">
      <c r="A41" s="2">
        <v>44645</v>
      </c>
      <c r="B41">
        <v>173.88000488281199</v>
      </c>
      <c r="C41">
        <v>175.27999877929599</v>
      </c>
      <c r="D41">
        <v>172.75</v>
      </c>
      <c r="E41">
        <v>174.72000122070301</v>
      </c>
      <c r="F41">
        <v>172.74592590332</v>
      </c>
      <c r="G41">
        <v>80546200</v>
      </c>
      <c r="H41">
        <v>0.1</v>
      </c>
      <c r="I41">
        <v>3.7340947270354499E-3</v>
      </c>
      <c r="J41">
        <v>2.0461141430597799E-2</v>
      </c>
      <c r="K41">
        <v>164.31000061035101</v>
      </c>
      <c r="L41">
        <v>141.91600036621</v>
      </c>
      <c r="M41">
        <v>142.03500366210901</v>
      </c>
      <c r="N41">
        <v>139.73750305175699</v>
      </c>
      <c r="O41">
        <v>141.67300415039</v>
      </c>
      <c r="P41">
        <v>141.67300415039</v>
      </c>
      <c r="Q41">
        <v>24126000</v>
      </c>
      <c r="R41">
        <v>0.1</v>
      </c>
      <c r="S41">
        <v>7.1340321789148398E-4</v>
      </c>
      <c r="T41">
        <v>2.2013725197484599E-2</v>
      </c>
      <c r="U41">
        <v>135.58840103149399</v>
      </c>
      <c r="V41">
        <v>305.23001098632801</v>
      </c>
      <c r="W41">
        <v>305.5</v>
      </c>
      <c r="X41">
        <v>299.29000854492102</v>
      </c>
      <c r="Y41">
        <v>303.67999267578102</v>
      </c>
      <c r="Z41">
        <v>298.28161621093699</v>
      </c>
      <c r="AA41">
        <v>22566500</v>
      </c>
      <c r="AB41">
        <v>0.1</v>
      </c>
      <c r="AC41">
        <v>-1.38116875798877E-3</v>
      </c>
      <c r="AD41">
        <v>2.12696346380098E-2</v>
      </c>
      <c r="AE41">
        <v>296.41199951171802</v>
      </c>
      <c r="AF41">
        <v>175.69000244140599</v>
      </c>
      <c r="AG41">
        <v>177.69999694824199</v>
      </c>
      <c r="AH41">
        <v>175.22000122070301</v>
      </c>
      <c r="AI41">
        <v>176.919998168945</v>
      </c>
      <c r="AJ41">
        <v>167.11865234375</v>
      </c>
      <c r="AK41">
        <v>4809500</v>
      </c>
      <c r="AL41">
        <v>0.1</v>
      </c>
      <c r="AM41">
        <v>9.5868102209502003E-3</v>
      </c>
      <c r="AN41">
        <v>1.12386946444123E-2</v>
      </c>
      <c r="AO41">
        <v>175.13200073242101</v>
      </c>
      <c r="AP41">
        <v>61.119998931884702</v>
      </c>
      <c r="AQ41">
        <v>61.610000610351499</v>
      </c>
      <c r="AR41">
        <v>61.049999237060497</v>
      </c>
      <c r="AS41">
        <v>61.529998779296797</v>
      </c>
      <c r="AT41">
        <v>57.914379119872997</v>
      </c>
      <c r="AU41">
        <v>12259800</v>
      </c>
      <c r="AV41">
        <v>0.1</v>
      </c>
      <c r="AW41">
        <v>9.0193381631562507E-3</v>
      </c>
      <c r="AX41">
        <v>1.3610098824127901E-2</v>
      </c>
      <c r="AY41">
        <v>60.209999847412099</v>
      </c>
      <c r="AZ41">
        <v>0.48800000548362699</v>
      </c>
      <c r="BA41">
        <v>0.53299999237060502</v>
      </c>
      <c r="BB41">
        <v>0.48500001430511402</v>
      </c>
      <c r="BC41">
        <v>0.51999998092651301</v>
      </c>
      <c r="BD41">
        <v>0.51999998092651301</v>
      </c>
      <c r="BE41">
        <v>0</v>
      </c>
      <c r="BF41">
        <v>0.5</v>
      </c>
      <c r="BG41">
        <v>7.6604492524152398E-2</v>
      </c>
      <c r="BH41">
        <v>9.4348177391371302E-2</v>
      </c>
      <c r="BI41">
        <v>0.445999997854232</v>
      </c>
      <c r="BJ41">
        <f t="shared" si="0"/>
        <v>4.0469494019180666E-2</v>
      </c>
    </row>
    <row r="42" spans="1:62">
      <c r="A42" s="2">
        <v>44648</v>
      </c>
      <c r="B42">
        <v>172.169998168945</v>
      </c>
      <c r="C42">
        <v>175.72999572753901</v>
      </c>
      <c r="D42">
        <v>172</v>
      </c>
      <c r="E42">
        <v>175.600006103515</v>
      </c>
      <c r="F42">
        <v>173.61598205566401</v>
      </c>
      <c r="G42">
        <v>90371900</v>
      </c>
      <c r="H42">
        <v>0.1</v>
      </c>
      <c r="I42">
        <v>5.0366579479408299E-3</v>
      </c>
      <c r="J42">
        <v>2.0462383016043601E-2</v>
      </c>
      <c r="K42">
        <v>166.80800170898399</v>
      </c>
      <c r="L42">
        <v>140.90049743652301</v>
      </c>
      <c r="M42">
        <v>142.00250244140599</v>
      </c>
      <c r="N42">
        <v>139.81149291992099</v>
      </c>
      <c r="O42">
        <v>141.45550537109301</v>
      </c>
      <c r="P42">
        <v>141.45550537109301</v>
      </c>
      <c r="Q42">
        <v>35050000</v>
      </c>
      <c r="R42">
        <v>0.1</v>
      </c>
      <c r="S42">
        <v>-1.5352168227193901E-3</v>
      </c>
      <c r="T42">
        <v>2.2031471598321299E-2</v>
      </c>
      <c r="U42">
        <v>137.13885192871001</v>
      </c>
      <c r="V42">
        <v>304.329986572265</v>
      </c>
      <c r="W42">
        <v>310.79998779296801</v>
      </c>
      <c r="X42">
        <v>304.329986572265</v>
      </c>
      <c r="Y42">
        <v>310.70001220703102</v>
      </c>
      <c r="Z42">
        <v>305.17691040039</v>
      </c>
      <c r="AA42">
        <v>29578200</v>
      </c>
      <c r="AB42">
        <v>0.1</v>
      </c>
      <c r="AC42">
        <v>2.3116503228926201E-2</v>
      </c>
      <c r="AD42">
        <v>2.18155848439597E-2</v>
      </c>
      <c r="AE42">
        <v>299.83800048828101</v>
      </c>
      <c r="AF42">
        <v>176.64999389648401</v>
      </c>
      <c r="AG42">
        <v>178.17999267578099</v>
      </c>
      <c r="AH42">
        <v>176.350006103515</v>
      </c>
      <c r="AI42">
        <v>177.83000183105401</v>
      </c>
      <c r="AJ42">
        <v>167.97824096679599</v>
      </c>
      <c r="AK42">
        <v>5604200</v>
      </c>
      <c r="AL42">
        <v>0.1</v>
      </c>
      <c r="AM42">
        <v>5.1435884666943803E-3</v>
      </c>
      <c r="AN42">
        <v>1.0889885582886E-2</v>
      </c>
      <c r="AO42">
        <v>175.74600067138601</v>
      </c>
      <c r="AP42">
        <v>61.529998779296797</v>
      </c>
      <c r="AQ42">
        <v>61.939998626708899</v>
      </c>
      <c r="AR42">
        <v>61.209999084472599</v>
      </c>
      <c r="AS42">
        <v>61.919998168945298</v>
      </c>
      <c r="AT42">
        <v>58.281459808349602</v>
      </c>
      <c r="AU42">
        <v>11485200</v>
      </c>
      <c r="AV42">
        <v>0.1</v>
      </c>
      <c r="AW42">
        <v>6.3383617322556596E-3</v>
      </c>
      <c r="AX42">
        <v>1.35408616036043E-2</v>
      </c>
      <c r="AY42">
        <v>60.547999572753902</v>
      </c>
      <c r="AZ42">
        <v>0.52300000190734797</v>
      </c>
      <c r="BA42">
        <v>0.52499997615814198</v>
      </c>
      <c r="BB42">
        <v>0.50300002098083496</v>
      </c>
      <c r="BC42">
        <v>0.50800001621246305</v>
      </c>
      <c r="BD42">
        <v>0.50800001621246305</v>
      </c>
      <c r="BE42">
        <v>0</v>
      </c>
      <c r="BF42">
        <v>0.5</v>
      </c>
      <c r="BG42">
        <v>-2.3076856065781401E-2</v>
      </c>
      <c r="BH42">
        <v>9.3991241168991602E-2</v>
      </c>
      <c r="BI42">
        <v>0.459000000357627</v>
      </c>
      <c r="BJ42">
        <f t="shared" si="0"/>
        <v>-7.7284385775809317E-3</v>
      </c>
    </row>
    <row r="43" spans="1:62">
      <c r="A43" s="2">
        <v>44649</v>
      </c>
      <c r="B43">
        <v>176.69000244140599</v>
      </c>
      <c r="C43">
        <v>179.009994506835</v>
      </c>
      <c r="D43">
        <v>176.33999633789</v>
      </c>
      <c r="E43">
        <v>178.96000671386699</v>
      </c>
      <c r="F43">
        <v>176.93800354003901</v>
      </c>
      <c r="G43">
        <v>100589400</v>
      </c>
      <c r="H43">
        <v>0.1</v>
      </c>
      <c r="I43">
        <v>1.9134399166084601E-2</v>
      </c>
      <c r="J43">
        <v>2.04389501819617E-2</v>
      </c>
      <c r="K43">
        <v>169.19500274658199</v>
      </c>
      <c r="L43">
        <v>142.64750671386699</v>
      </c>
      <c r="M43">
        <v>143.79350280761699</v>
      </c>
      <c r="N43">
        <v>142.03849792480401</v>
      </c>
      <c r="O43">
        <v>142.50549316406199</v>
      </c>
      <c r="P43">
        <v>142.50549316406199</v>
      </c>
      <c r="Q43">
        <v>34318000</v>
      </c>
      <c r="R43">
        <v>0.1</v>
      </c>
      <c r="S43">
        <v>7.4227425098387602E-3</v>
      </c>
      <c r="T43">
        <v>2.1929070562925802E-2</v>
      </c>
      <c r="U43">
        <v>138.46960144042899</v>
      </c>
      <c r="V43">
        <v>313.91000366210898</v>
      </c>
      <c r="W43">
        <v>315.82000732421801</v>
      </c>
      <c r="X43">
        <v>309.04998779296801</v>
      </c>
      <c r="Y43">
        <v>315.41000366210898</v>
      </c>
      <c r="Z43">
        <v>309.803131103515</v>
      </c>
      <c r="AA43">
        <v>30393400</v>
      </c>
      <c r="AB43">
        <v>0.1</v>
      </c>
      <c r="AC43">
        <v>1.51592895720251E-2</v>
      </c>
      <c r="AD43">
        <v>2.1698531162767699E-2</v>
      </c>
      <c r="AE43">
        <v>302.66400146484301</v>
      </c>
      <c r="AF43">
        <v>178.61999511718699</v>
      </c>
      <c r="AG43">
        <v>179.39999389648401</v>
      </c>
      <c r="AH43">
        <v>176.80000305175699</v>
      </c>
      <c r="AI43">
        <v>177.74000549316401</v>
      </c>
      <c r="AJ43">
        <v>167.89323425292901</v>
      </c>
      <c r="AK43">
        <v>5933400</v>
      </c>
      <c r="AL43">
        <v>0.1</v>
      </c>
      <c r="AM43">
        <v>-5.0608073420665902E-4</v>
      </c>
      <c r="AN43">
        <v>1.08038230026114E-2</v>
      </c>
      <c r="AO43">
        <v>175.90600128173801</v>
      </c>
      <c r="AP43">
        <v>62.209999084472599</v>
      </c>
      <c r="AQ43">
        <v>62.529998779296797</v>
      </c>
      <c r="AR43">
        <v>61.740001678466797</v>
      </c>
      <c r="AS43">
        <v>62.159999847412102</v>
      </c>
      <c r="AT43">
        <v>58.507358551025298</v>
      </c>
      <c r="AU43">
        <v>14720600</v>
      </c>
      <c r="AV43">
        <v>0.1</v>
      </c>
      <c r="AW43">
        <v>3.8759962138881199E-3</v>
      </c>
      <c r="AX43">
        <v>1.3532335450879099E-2</v>
      </c>
      <c r="AY43">
        <v>60.801999664306599</v>
      </c>
      <c r="AZ43">
        <v>0.59500002861022905</v>
      </c>
      <c r="BA43">
        <v>0.59799998998641901</v>
      </c>
      <c r="BB43">
        <v>0.55299997329711903</v>
      </c>
      <c r="BC43">
        <v>0.55500000715255704</v>
      </c>
      <c r="BD43">
        <v>0.55500000715255704</v>
      </c>
      <c r="BE43">
        <v>0</v>
      </c>
      <c r="BF43">
        <v>0.5</v>
      </c>
      <c r="BG43">
        <v>9.2519664252209199E-2</v>
      </c>
      <c r="BH43">
        <v>9.4172288020045E-2</v>
      </c>
      <c r="BI43">
        <v>0.46969999969005499</v>
      </c>
      <c r="BJ43">
        <f t="shared" si="0"/>
        <v>5.0768466798867588E-2</v>
      </c>
    </row>
    <row r="44" spans="1:62">
      <c r="A44" s="2">
        <v>44650</v>
      </c>
      <c r="B44">
        <v>178.55000305175699</v>
      </c>
      <c r="C44">
        <v>179.61000061035099</v>
      </c>
      <c r="D44">
        <v>176.69999694824199</v>
      </c>
      <c r="E44">
        <v>177.77000427246</v>
      </c>
      <c r="F44">
        <v>175.76148986816401</v>
      </c>
      <c r="G44">
        <v>92633200</v>
      </c>
      <c r="H44">
        <v>0.1</v>
      </c>
      <c r="I44">
        <v>-6.64954401409301E-3</v>
      </c>
      <c r="J44">
        <v>2.0239341823220899E-2</v>
      </c>
      <c r="K44">
        <v>171.01300354003899</v>
      </c>
      <c r="L44">
        <v>142.46000671386699</v>
      </c>
      <c r="M44">
        <v>142.72050476074199</v>
      </c>
      <c r="N44">
        <v>141.600006103515</v>
      </c>
      <c r="O44">
        <v>141.93850708007801</v>
      </c>
      <c r="P44">
        <v>141.93850708007801</v>
      </c>
      <c r="Q44">
        <v>19884000</v>
      </c>
      <c r="R44">
        <v>0.1</v>
      </c>
      <c r="S44">
        <v>-3.9786963393166896E-3</v>
      </c>
      <c r="T44">
        <v>2.1988374705336999E-2</v>
      </c>
      <c r="U44">
        <v>139.335401916503</v>
      </c>
      <c r="V44">
        <v>313.760009765625</v>
      </c>
      <c r="W44">
        <v>315.95001220703102</v>
      </c>
      <c r="X44">
        <v>311.579986572265</v>
      </c>
      <c r="Y44">
        <v>313.85998535156199</v>
      </c>
      <c r="Z44">
        <v>308.28070068359301</v>
      </c>
      <c r="AA44">
        <v>28163600</v>
      </c>
      <c r="AB44">
        <v>0.1</v>
      </c>
      <c r="AC44">
        <v>-4.9142966061639301E-3</v>
      </c>
      <c r="AD44">
        <v>2.15100537844094E-2</v>
      </c>
      <c r="AE44">
        <v>304.610998535156</v>
      </c>
      <c r="AF44">
        <v>178.44000244140599</v>
      </c>
      <c r="AG44">
        <v>179.86000061035099</v>
      </c>
      <c r="AH44">
        <v>177.67999267578099</v>
      </c>
      <c r="AI44">
        <v>179.58999633789</v>
      </c>
      <c r="AJ44">
        <v>169.64073181152301</v>
      </c>
      <c r="AK44">
        <v>6277600</v>
      </c>
      <c r="AL44">
        <v>0.1</v>
      </c>
      <c r="AM44">
        <v>1.0408409967094899E-2</v>
      </c>
      <c r="AN44">
        <v>1.0730488813356E-2</v>
      </c>
      <c r="AO44">
        <v>176.413000488281</v>
      </c>
      <c r="AP44">
        <v>62.009998321533203</v>
      </c>
      <c r="AQ44">
        <v>62.209999084472599</v>
      </c>
      <c r="AR44">
        <v>61.560001373291001</v>
      </c>
      <c r="AS44">
        <v>62.209999084472599</v>
      </c>
      <c r="AT44">
        <v>58.554420471191399</v>
      </c>
      <c r="AU44">
        <v>13641000</v>
      </c>
      <c r="AV44">
        <v>0.1</v>
      </c>
      <c r="AW44">
        <v>8.04363532549645E-4</v>
      </c>
      <c r="AX44">
        <v>1.3427992679314301E-2</v>
      </c>
      <c r="AY44">
        <v>61.076999664306598</v>
      </c>
      <c r="AZ44">
        <v>0.55000001192092896</v>
      </c>
      <c r="BA44">
        <v>0.56300002336501997</v>
      </c>
      <c r="BB44">
        <v>0.5</v>
      </c>
      <c r="BC44">
        <v>0.52499997615814198</v>
      </c>
      <c r="BD44">
        <v>0.52499997615814198</v>
      </c>
      <c r="BE44">
        <v>0</v>
      </c>
      <c r="BF44">
        <v>0.5</v>
      </c>
      <c r="BG44">
        <v>-5.4054109203225502E-2</v>
      </c>
      <c r="BH44">
        <v>9.61506844571383E-2</v>
      </c>
      <c r="BI44">
        <v>0.47889999747276302</v>
      </c>
      <c r="BJ44">
        <f t="shared" si="0"/>
        <v>-2.746003094760566E-2</v>
      </c>
    </row>
    <row r="45" spans="1:62">
      <c r="A45" s="2">
        <v>44651</v>
      </c>
      <c r="B45">
        <v>177.83999633789</v>
      </c>
      <c r="C45">
        <v>178.02999877929599</v>
      </c>
      <c r="D45">
        <v>174.39999389648401</v>
      </c>
      <c r="E45">
        <v>174.61000061035099</v>
      </c>
      <c r="F45">
        <v>172.63714599609301</v>
      </c>
      <c r="G45">
        <v>103049300</v>
      </c>
      <c r="H45">
        <v>0.1</v>
      </c>
      <c r="I45">
        <v>-1.7775797863323201E-2</v>
      </c>
      <c r="J45">
        <v>2.0764028632239001E-2</v>
      </c>
      <c r="K45">
        <v>172.41200408935501</v>
      </c>
      <c r="L45">
        <v>142.05299377441401</v>
      </c>
      <c r="M45">
        <v>142.10800170898401</v>
      </c>
      <c r="N45">
        <v>139.02450561523401</v>
      </c>
      <c r="O45">
        <v>139.06750488281199</v>
      </c>
      <c r="P45">
        <v>139.06750488281199</v>
      </c>
      <c r="Q45">
        <v>37524000</v>
      </c>
      <c r="R45">
        <v>0.1</v>
      </c>
      <c r="S45">
        <v>-2.02270846462114E-2</v>
      </c>
      <c r="T45">
        <v>2.25331933810285E-2</v>
      </c>
      <c r="U45">
        <v>139.85825195312501</v>
      </c>
      <c r="V45">
        <v>313.89999389648398</v>
      </c>
      <c r="W45">
        <v>315.14001464843699</v>
      </c>
      <c r="X45">
        <v>307.89001464843699</v>
      </c>
      <c r="Y45">
        <v>308.30999755859301</v>
      </c>
      <c r="Z45">
        <v>302.82940673828102</v>
      </c>
      <c r="AA45">
        <v>33422100</v>
      </c>
      <c r="AB45">
        <v>0.1</v>
      </c>
      <c r="AC45">
        <v>-1.7683005327206899E-2</v>
      </c>
      <c r="AD45">
        <v>2.1664494695285901E-2</v>
      </c>
      <c r="AE45">
        <v>305.91999816894503</v>
      </c>
      <c r="AF45">
        <v>179.58999633789</v>
      </c>
      <c r="AG45">
        <v>180.21000671386699</v>
      </c>
      <c r="AH45">
        <v>176.97999572753901</v>
      </c>
      <c r="AI45">
        <v>177.22999572753901</v>
      </c>
      <c r="AJ45">
        <v>167.41148376464801</v>
      </c>
      <c r="AK45">
        <v>11490400</v>
      </c>
      <c r="AL45">
        <v>0.1</v>
      </c>
      <c r="AM45">
        <v>-1.31410471544936E-2</v>
      </c>
      <c r="AN45">
        <v>1.1068101538497299E-2</v>
      </c>
      <c r="AO45">
        <v>176.45599975585901</v>
      </c>
      <c r="AP45">
        <v>62.220001220703097</v>
      </c>
      <c r="AQ45">
        <v>62.639999389648402</v>
      </c>
      <c r="AR45">
        <v>62</v>
      </c>
      <c r="AS45">
        <v>62</v>
      </c>
      <c r="AT45">
        <v>58.356758117675703</v>
      </c>
      <c r="AU45">
        <v>16822900</v>
      </c>
      <c r="AV45">
        <v>0.1</v>
      </c>
      <c r="AW45">
        <v>-3.37564840963111E-3</v>
      </c>
      <c r="AX45">
        <v>1.34465151397315E-2</v>
      </c>
      <c r="AY45">
        <v>61.267999649047802</v>
      </c>
      <c r="AZ45">
        <v>0.50800001621246305</v>
      </c>
      <c r="BA45">
        <v>0.51800000667571999</v>
      </c>
      <c r="BB45">
        <v>0.48800000548362699</v>
      </c>
      <c r="BC45">
        <v>0.49300000071525502</v>
      </c>
      <c r="BD45">
        <v>0.49300000071525502</v>
      </c>
      <c r="BE45">
        <v>0</v>
      </c>
      <c r="BF45">
        <v>0.5</v>
      </c>
      <c r="BG45">
        <v>-6.0952336944958697E-2</v>
      </c>
      <c r="BH45">
        <v>9.8204657339500803E-2</v>
      </c>
      <c r="BI45">
        <v>0.49219999611377702</v>
      </c>
      <c r="BJ45">
        <f t="shared" si="0"/>
        <v>-3.7696426812565964E-2</v>
      </c>
    </row>
    <row r="46" spans="1:62">
      <c r="A46" s="2">
        <v>44652</v>
      </c>
      <c r="B46">
        <v>174.02999877929599</v>
      </c>
      <c r="C46">
        <v>174.88000488281199</v>
      </c>
      <c r="D46">
        <v>171.94000244140599</v>
      </c>
      <c r="E46">
        <v>174.30999755859301</v>
      </c>
      <c r="F46">
        <v>172.34054565429599</v>
      </c>
      <c r="G46">
        <v>78751300</v>
      </c>
      <c r="H46">
        <v>0.1</v>
      </c>
      <c r="I46">
        <v>-1.71813212707838E-3</v>
      </c>
      <c r="J46">
        <v>2.0200182822941601E-2</v>
      </c>
      <c r="K46">
        <v>173.44500427246001</v>
      </c>
      <c r="L46">
        <v>139.5</v>
      </c>
      <c r="M46">
        <v>140.47099304199199</v>
      </c>
      <c r="N46">
        <v>138.30749511718699</v>
      </c>
      <c r="O46">
        <v>140.15049743652301</v>
      </c>
      <c r="P46">
        <v>140.15049743652301</v>
      </c>
      <c r="Q46">
        <v>25942000</v>
      </c>
      <c r="R46">
        <v>0.1</v>
      </c>
      <c r="S46">
        <v>7.7875313476252197E-3</v>
      </c>
      <c r="T46">
        <v>2.21997088396125E-2</v>
      </c>
      <c r="U46">
        <v>140.26075134277301</v>
      </c>
      <c r="V46">
        <v>309.36999511718699</v>
      </c>
      <c r="W46">
        <v>310.13000488281199</v>
      </c>
      <c r="X46">
        <v>305.54000854492102</v>
      </c>
      <c r="Y46">
        <v>309.42001342773398</v>
      </c>
      <c r="Z46">
        <v>303.91961669921801</v>
      </c>
      <c r="AA46">
        <v>27110500</v>
      </c>
      <c r="AB46">
        <v>0.1</v>
      </c>
      <c r="AC46">
        <v>3.6003239529385201E-3</v>
      </c>
      <c r="AD46">
        <v>2.0992127468872301E-2</v>
      </c>
      <c r="AE46">
        <v>306.81900024414</v>
      </c>
      <c r="AF46">
        <v>177.05000305175699</v>
      </c>
      <c r="AG46">
        <v>178.42999267578099</v>
      </c>
      <c r="AH46">
        <v>175.600006103515</v>
      </c>
      <c r="AI46">
        <v>178.19000244140599</v>
      </c>
      <c r="AJ46">
        <v>168.31831359863199</v>
      </c>
      <c r="AK46">
        <v>6525600</v>
      </c>
      <c r="AL46">
        <v>0.1</v>
      </c>
      <c r="AM46">
        <v>5.4167281894146298E-3</v>
      </c>
      <c r="AN46">
        <v>1.10604620819282E-2</v>
      </c>
      <c r="AO46">
        <v>176.79100036621</v>
      </c>
      <c r="AP46">
        <v>62.330001831054602</v>
      </c>
      <c r="AQ46">
        <v>62.950000762939403</v>
      </c>
      <c r="AR46">
        <v>62.090000152587798</v>
      </c>
      <c r="AS46">
        <v>62.869998931884702</v>
      </c>
      <c r="AT46">
        <v>59.175640106201101</v>
      </c>
      <c r="AU46">
        <v>12644900</v>
      </c>
      <c r="AV46">
        <v>0.1</v>
      </c>
      <c r="AW46">
        <v>1.4032240836850901E-2</v>
      </c>
      <c r="AX46">
        <v>1.3820660631856E-2</v>
      </c>
      <c r="AY46">
        <v>61.544999694824199</v>
      </c>
      <c r="AZ46">
        <v>0.49799999594688399</v>
      </c>
      <c r="BA46">
        <v>0.50499999523162797</v>
      </c>
      <c r="BB46">
        <v>0.49799999594688399</v>
      </c>
      <c r="BC46">
        <v>0.5</v>
      </c>
      <c r="BD46">
        <v>0.5</v>
      </c>
      <c r="BE46">
        <v>0</v>
      </c>
      <c r="BF46">
        <v>0.5</v>
      </c>
      <c r="BG46">
        <v>1.4198781490037501E-2</v>
      </c>
      <c r="BH46">
        <v>9.4565625296467407E-2</v>
      </c>
      <c r="BI46">
        <v>0.50389999747276304</v>
      </c>
      <c r="BJ46">
        <f t="shared" si="0"/>
        <v>1.0011259964993842E-2</v>
      </c>
    </row>
    <row r="47" spans="1:62">
      <c r="A47" s="2">
        <v>44655</v>
      </c>
      <c r="B47">
        <v>174.57000732421801</v>
      </c>
      <c r="C47">
        <v>178.49000549316401</v>
      </c>
      <c r="D47">
        <v>174.44000244140599</v>
      </c>
      <c r="E47">
        <v>178.44000244140599</v>
      </c>
      <c r="F47">
        <v>176.42388916015599</v>
      </c>
      <c r="G47">
        <v>76468400</v>
      </c>
      <c r="H47">
        <v>0.1</v>
      </c>
      <c r="I47">
        <v>2.3693448113463599E-2</v>
      </c>
      <c r="J47">
        <v>1.9611191220496E-2</v>
      </c>
      <c r="K47">
        <v>174.75100402832001</v>
      </c>
      <c r="L47">
        <v>140.35850524902301</v>
      </c>
      <c r="M47">
        <v>143.71200561523401</v>
      </c>
      <c r="N47">
        <v>140.31050109863199</v>
      </c>
      <c r="O47">
        <v>142.97149658203099</v>
      </c>
      <c r="P47">
        <v>142.97149658203099</v>
      </c>
      <c r="Q47">
        <v>25942000</v>
      </c>
      <c r="R47">
        <v>0.1</v>
      </c>
      <c r="S47">
        <v>2.01283562820424E-2</v>
      </c>
      <c r="T47">
        <v>1.9754412268782901E-2</v>
      </c>
      <c r="U47">
        <v>140.947750854492</v>
      </c>
      <c r="V47">
        <v>310.08999633789</v>
      </c>
      <c r="W47">
        <v>315.10998535156199</v>
      </c>
      <c r="X47">
        <v>309.70999145507801</v>
      </c>
      <c r="Y47">
        <v>314.97000122070301</v>
      </c>
      <c r="Z47">
        <v>309.37094116210898</v>
      </c>
      <c r="AA47">
        <v>24289600</v>
      </c>
      <c r="AB47">
        <v>0.1</v>
      </c>
      <c r="AC47">
        <v>1.7936744722767999E-2</v>
      </c>
      <c r="AD47">
        <v>1.8812876446928799E-2</v>
      </c>
      <c r="AE47">
        <v>308.39999999999998</v>
      </c>
      <c r="AF47">
        <v>178.19000244140599</v>
      </c>
      <c r="AG47">
        <v>178.19000244140599</v>
      </c>
      <c r="AH47">
        <v>175.52000427246</v>
      </c>
      <c r="AI47">
        <v>176.47000122070301</v>
      </c>
      <c r="AJ47">
        <v>166.69357299804599</v>
      </c>
      <c r="AK47">
        <v>6860600</v>
      </c>
      <c r="AL47">
        <v>0.1</v>
      </c>
      <c r="AM47">
        <v>-9.65262471034933E-3</v>
      </c>
      <c r="AN47">
        <v>1.0899332874619401E-2</v>
      </c>
      <c r="AO47">
        <v>176.855000305175</v>
      </c>
      <c r="AP47">
        <v>62.599998474121001</v>
      </c>
      <c r="AQ47">
        <v>62.790000915527301</v>
      </c>
      <c r="AR47">
        <v>61.720001220703097</v>
      </c>
      <c r="AS47">
        <v>62.540000915527301</v>
      </c>
      <c r="AT47">
        <v>58.865032196044901</v>
      </c>
      <c r="AU47">
        <v>11505800</v>
      </c>
      <c r="AV47">
        <v>0.1</v>
      </c>
      <c r="AW47">
        <v>-5.2488948936510998E-3</v>
      </c>
      <c r="AX47">
        <v>1.26909718572374E-2</v>
      </c>
      <c r="AY47">
        <v>61.740999603271398</v>
      </c>
      <c r="AZ47">
        <v>0.5</v>
      </c>
      <c r="BA47">
        <v>0.54000002145767201</v>
      </c>
      <c r="BB47">
        <v>0.5</v>
      </c>
      <c r="BC47">
        <v>0.537999987602233</v>
      </c>
      <c r="BD47">
        <v>0.537999987602233</v>
      </c>
      <c r="BE47">
        <v>0</v>
      </c>
      <c r="BF47">
        <v>0.5</v>
      </c>
      <c r="BG47">
        <v>7.5999975204467704E-2</v>
      </c>
      <c r="BH47">
        <v>9.4859149327762196E-2</v>
      </c>
      <c r="BI47">
        <v>0.512199994921684</v>
      </c>
      <c r="BJ47">
        <f t="shared" si="0"/>
        <v>4.2685690553661212E-2</v>
      </c>
    </row>
    <row r="48" spans="1:62">
      <c r="A48" s="2">
        <v>44656</v>
      </c>
      <c r="B48">
        <v>177.5</v>
      </c>
      <c r="C48">
        <v>178.30000305175699</v>
      </c>
      <c r="D48">
        <v>174.419998168945</v>
      </c>
      <c r="E48">
        <v>175.05999755859301</v>
      </c>
      <c r="F48">
        <v>173.08206176757801</v>
      </c>
      <c r="G48">
        <v>73401800</v>
      </c>
      <c r="H48">
        <v>0.1</v>
      </c>
      <c r="I48">
        <v>-1.8941968373500699E-2</v>
      </c>
      <c r="J48">
        <v>2.00164823392237E-2</v>
      </c>
      <c r="K48">
        <v>175.37500305175701</v>
      </c>
      <c r="L48">
        <v>142.86900329589801</v>
      </c>
      <c r="M48">
        <v>142.99049377441401</v>
      </c>
      <c r="N48">
        <v>140.38250732421801</v>
      </c>
      <c r="O48">
        <v>140.59100341796801</v>
      </c>
      <c r="P48">
        <v>140.59100341796801</v>
      </c>
      <c r="Q48">
        <v>21418000</v>
      </c>
      <c r="R48">
        <v>0.1</v>
      </c>
      <c r="S48">
        <v>-1.6650124122444699E-2</v>
      </c>
      <c r="T48">
        <v>2.04154288958645E-2</v>
      </c>
      <c r="U48">
        <v>141.020051574707</v>
      </c>
      <c r="V48">
        <v>313.26998901367102</v>
      </c>
      <c r="W48">
        <v>314.86999511718699</v>
      </c>
      <c r="X48">
        <v>309.86999511718699</v>
      </c>
      <c r="Y48">
        <v>310.88000488281199</v>
      </c>
      <c r="Z48">
        <v>305.35366821289</v>
      </c>
      <c r="AA48">
        <v>23156700</v>
      </c>
      <c r="AB48">
        <v>0.1</v>
      </c>
      <c r="AC48">
        <v>-1.2985352008252699E-2</v>
      </c>
      <c r="AD48">
        <v>1.8915105149510801E-2</v>
      </c>
      <c r="AE48">
        <v>309.08200073242102</v>
      </c>
      <c r="AF48">
        <v>176.47000122070301</v>
      </c>
      <c r="AG48">
        <v>179.64999389648401</v>
      </c>
      <c r="AH48">
        <v>176.28999328613199</v>
      </c>
      <c r="AI48">
        <v>177.61000061035099</v>
      </c>
      <c r="AJ48">
        <v>167.77043151855401</v>
      </c>
      <c r="AK48">
        <v>7446100</v>
      </c>
      <c r="AL48">
        <v>0.1</v>
      </c>
      <c r="AM48">
        <v>6.4600180300484703E-3</v>
      </c>
      <c r="AN48">
        <v>9.6901000643191508E-3</v>
      </c>
      <c r="AO48">
        <v>177.11600036620999</v>
      </c>
      <c r="AP48">
        <v>62.400001525878899</v>
      </c>
      <c r="AQ48">
        <v>63.240001678466797</v>
      </c>
      <c r="AR48">
        <v>62.369998931884702</v>
      </c>
      <c r="AS48">
        <v>62.470001220703097</v>
      </c>
      <c r="AT48">
        <v>58.799140930175703</v>
      </c>
      <c r="AU48">
        <v>15721200</v>
      </c>
      <c r="AV48">
        <v>0.1</v>
      </c>
      <c r="AW48">
        <v>-1.1192787623839301E-3</v>
      </c>
      <c r="AX48">
        <v>8.3368541018320492E-3</v>
      </c>
      <c r="AY48">
        <v>61.907999801635697</v>
      </c>
      <c r="AZ48">
        <v>0.662999987602233</v>
      </c>
      <c r="BA48">
        <v>0.67500001192092896</v>
      </c>
      <c r="BB48">
        <v>0.662999987602233</v>
      </c>
      <c r="BC48">
        <v>0.66799998283386197</v>
      </c>
      <c r="BD48">
        <v>0.66799998283386197</v>
      </c>
      <c r="BE48">
        <v>0</v>
      </c>
      <c r="BF48">
        <v>0.5</v>
      </c>
      <c r="BG48">
        <v>0.241635684437492</v>
      </c>
      <c r="BH48">
        <v>0.100684096814709</v>
      </c>
      <c r="BI48">
        <v>0.52699999511241902</v>
      </c>
      <c r="BJ48">
        <f t="shared" si="0"/>
        <v>0.11649417169509264</v>
      </c>
    </row>
    <row r="49" spans="1:62">
      <c r="A49" s="2">
        <v>44657</v>
      </c>
      <c r="B49">
        <v>172.36000061035099</v>
      </c>
      <c r="C49">
        <v>173.63000488281199</v>
      </c>
      <c r="D49">
        <v>170.13000488281199</v>
      </c>
      <c r="E49">
        <v>171.83000183105401</v>
      </c>
      <c r="F49">
        <v>169.88856506347599</v>
      </c>
      <c r="G49">
        <v>89058800</v>
      </c>
      <c r="H49">
        <v>0.1</v>
      </c>
      <c r="I49">
        <v>-1.8450792714411801E-2</v>
      </c>
      <c r="J49">
        <v>1.9431581138384699E-2</v>
      </c>
      <c r="K49">
        <v>175.53700256347599</v>
      </c>
      <c r="L49">
        <v>138.75</v>
      </c>
      <c r="M49">
        <v>139.36050415039</v>
      </c>
      <c r="N49">
        <v>135.516998291015</v>
      </c>
      <c r="O49">
        <v>136.54800415039</v>
      </c>
      <c r="P49">
        <v>136.54800415039</v>
      </c>
      <c r="Q49">
        <v>32468000</v>
      </c>
      <c r="R49">
        <v>0.1</v>
      </c>
      <c r="S49">
        <v>-2.8757169159384401E-2</v>
      </c>
      <c r="T49">
        <v>1.8908830262629801E-2</v>
      </c>
      <c r="U49">
        <v>140.84730224609299</v>
      </c>
      <c r="V49">
        <v>305.19000244140602</v>
      </c>
      <c r="W49">
        <v>307</v>
      </c>
      <c r="X49">
        <v>296.70999145507801</v>
      </c>
      <c r="Y49">
        <v>299.5</v>
      </c>
      <c r="Z49">
        <v>294.17596435546801</v>
      </c>
      <c r="AA49">
        <v>40110400</v>
      </c>
      <c r="AB49">
        <v>0.1</v>
      </c>
      <c r="AC49">
        <v>-3.6605779413514297E-2</v>
      </c>
      <c r="AD49">
        <v>1.8794399421035501E-2</v>
      </c>
      <c r="AE49">
        <v>309.083001708984</v>
      </c>
      <c r="AF49">
        <v>179.38999938964801</v>
      </c>
      <c r="AG49">
        <v>182.600006103515</v>
      </c>
      <c r="AH49">
        <v>178.61999511718699</v>
      </c>
      <c r="AI49">
        <v>182.22999572753901</v>
      </c>
      <c r="AJ49">
        <v>172.13449096679599</v>
      </c>
      <c r="AK49">
        <v>10330900</v>
      </c>
      <c r="AL49">
        <v>0.1</v>
      </c>
      <c r="AM49">
        <v>2.60120212899668E-2</v>
      </c>
      <c r="AN49">
        <v>1.10153085586518E-2</v>
      </c>
      <c r="AO49">
        <v>177.90500030517501</v>
      </c>
      <c r="AP49">
        <v>62.770000457763601</v>
      </c>
      <c r="AQ49">
        <v>63.259998321533203</v>
      </c>
      <c r="AR49">
        <v>62.299999237060497</v>
      </c>
      <c r="AS49">
        <v>63.099998474121001</v>
      </c>
      <c r="AT49">
        <v>59.392116546630803</v>
      </c>
      <c r="AU49">
        <v>19267400</v>
      </c>
      <c r="AV49">
        <v>0.1</v>
      </c>
      <c r="AW49">
        <v>1.00847965600676E-2</v>
      </c>
      <c r="AX49">
        <v>8.4704307265626496E-3</v>
      </c>
      <c r="AY49">
        <v>62.177999496459897</v>
      </c>
      <c r="AZ49">
        <v>0.66500002145767201</v>
      </c>
      <c r="BA49">
        <v>0.67000001668929998</v>
      </c>
      <c r="BB49">
        <v>0.60000002384185702</v>
      </c>
      <c r="BC49">
        <v>0.662999987602233</v>
      </c>
      <c r="BD49">
        <v>0.662999987602233</v>
      </c>
      <c r="BE49">
        <v>0</v>
      </c>
      <c r="BF49">
        <v>0.5</v>
      </c>
      <c r="BG49">
        <v>-7.4850229941876203E-3</v>
      </c>
      <c r="BH49">
        <v>0.101143646227071</v>
      </c>
      <c r="BI49">
        <v>0.54529999494552595</v>
      </c>
      <c r="BJ49">
        <f t="shared" si="0"/>
        <v>-8.5142038408214209E-3</v>
      </c>
    </row>
    <row r="50" spans="1:62">
      <c r="A50" s="2">
        <v>44658</v>
      </c>
      <c r="B50">
        <v>171.16000366210901</v>
      </c>
      <c r="C50">
        <v>173.36000061035099</v>
      </c>
      <c r="D50">
        <v>169.850006103515</v>
      </c>
      <c r="E50">
        <v>172.13999938964801</v>
      </c>
      <c r="F50">
        <v>170.195053100585</v>
      </c>
      <c r="G50">
        <v>77594700</v>
      </c>
      <c r="H50">
        <v>0.1</v>
      </c>
      <c r="I50">
        <v>1.80409448460894E-3</v>
      </c>
      <c r="J50">
        <v>1.8110550741232599E-2</v>
      </c>
      <c r="K50">
        <v>175.34400177001899</v>
      </c>
      <c r="L50">
        <v>136.009994506835</v>
      </c>
      <c r="M50">
        <v>137.16450500488199</v>
      </c>
      <c r="N50">
        <v>134.22749328613199</v>
      </c>
      <c r="O50">
        <v>135.88850402832</v>
      </c>
      <c r="P50">
        <v>135.88850402832</v>
      </c>
      <c r="Q50">
        <v>26234000</v>
      </c>
      <c r="R50">
        <v>0.1</v>
      </c>
      <c r="S50">
        <v>-4.82980418625489E-3</v>
      </c>
      <c r="T50">
        <v>1.8854448728269201E-2</v>
      </c>
      <c r="U50">
        <v>140.27895202636699</v>
      </c>
      <c r="V50">
        <v>296.66000366210898</v>
      </c>
      <c r="W50">
        <v>303.64999389648398</v>
      </c>
      <c r="X50">
        <v>296.350006103515</v>
      </c>
      <c r="Y50">
        <v>301.36999511718699</v>
      </c>
      <c r="Z50">
        <v>296.01275634765602</v>
      </c>
      <c r="AA50">
        <v>31411200</v>
      </c>
      <c r="AB50">
        <v>0.1</v>
      </c>
      <c r="AC50">
        <v>6.2437232627294802E-3</v>
      </c>
      <c r="AD50">
        <v>1.8593479752821801E-2</v>
      </c>
      <c r="AE50">
        <v>308.81000061035098</v>
      </c>
      <c r="AF50">
        <v>181.669998168945</v>
      </c>
      <c r="AG50">
        <v>182.94999694824199</v>
      </c>
      <c r="AH50">
        <v>180.22999572753901</v>
      </c>
      <c r="AI50">
        <v>181.759994506835</v>
      </c>
      <c r="AJ50">
        <v>171.69052124023401</v>
      </c>
      <c r="AK50">
        <v>7385200</v>
      </c>
      <c r="AL50">
        <v>0.1</v>
      </c>
      <c r="AM50">
        <v>-2.5791649658262099E-3</v>
      </c>
      <c r="AN50">
        <v>1.1098583824600499E-2</v>
      </c>
      <c r="AO50">
        <v>178.556999206542</v>
      </c>
      <c r="AP50">
        <v>63.130001068115199</v>
      </c>
      <c r="AQ50">
        <v>63.669998168945298</v>
      </c>
      <c r="AR50">
        <v>62.709999084472599</v>
      </c>
      <c r="AS50">
        <v>63.439998626708899</v>
      </c>
      <c r="AT50">
        <v>59.712142944335902</v>
      </c>
      <c r="AU50">
        <v>13960800</v>
      </c>
      <c r="AV50">
        <v>0.1</v>
      </c>
      <c r="AW50">
        <v>5.3882751316916E-3</v>
      </c>
      <c r="AX50">
        <v>6.7506797749745098E-3</v>
      </c>
      <c r="AY50">
        <v>62.4239994049072</v>
      </c>
      <c r="AZ50">
        <v>0.65499997138976995</v>
      </c>
      <c r="BA50">
        <v>0.66500002145767201</v>
      </c>
      <c r="BB50">
        <v>0.64800000190734797</v>
      </c>
      <c r="BC50">
        <v>0.66000002622604304</v>
      </c>
      <c r="BD50">
        <v>0.66000002622604304</v>
      </c>
      <c r="BE50">
        <v>0</v>
      </c>
      <c r="BF50">
        <v>0.5</v>
      </c>
      <c r="BG50">
        <v>-4.52482870631665E-3</v>
      </c>
      <c r="BH50">
        <v>0.100549518784917</v>
      </c>
      <c r="BI50">
        <v>0.56299999654292998</v>
      </c>
      <c r="BJ50">
        <f t="shared" si="0"/>
        <v>-1.6597019804634329E-3</v>
      </c>
    </row>
    <row r="51" spans="1:62">
      <c r="A51" s="2">
        <v>44659</v>
      </c>
      <c r="B51">
        <v>171.77999877929599</v>
      </c>
      <c r="C51">
        <v>171.77999877929599</v>
      </c>
      <c r="D51">
        <v>169.19999694824199</v>
      </c>
      <c r="E51">
        <v>170.08999633789</v>
      </c>
      <c r="F51">
        <v>168.168212890625</v>
      </c>
      <c r="G51">
        <v>76575500</v>
      </c>
      <c r="H51">
        <v>0.1</v>
      </c>
      <c r="I51">
        <v>-1.19089291217987E-2</v>
      </c>
      <c r="J51">
        <v>1.7308340431797499E-2</v>
      </c>
      <c r="K51">
        <v>174.88100128173801</v>
      </c>
      <c r="L51">
        <v>135.58349609375</v>
      </c>
      <c r="M51">
        <v>135.669998168945</v>
      </c>
      <c r="N51">
        <v>132.96549987792901</v>
      </c>
      <c r="O51">
        <v>133.287506103515</v>
      </c>
      <c r="P51">
        <v>133.287506103515</v>
      </c>
      <c r="Q51">
        <v>25142000</v>
      </c>
      <c r="R51">
        <v>0.1</v>
      </c>
      <c r="S51">
        <v>-1.91406767143644E-2</v>
      </c>
      <c r="T51">
        <v>1.8843882102194599E-2</v>
      </c>
      <c r="U51">
        <v>139.44040222167899</v>
      </c>
      <c r="V51">
        <v>300.44000244140602</v>
      </c>
      <c r="W51">
        <v>301.11999511718699</v>
      </c>
      <c r="X51">
        <v>296.27999877929602</v>
      </c>
      <c r="Y51">
        <v>296.97000122070301</v>
      </c>
      <c r="Z51">
        <v>291.69097900390602</v>
      </c>
      <c r="AA51">
        <v>24361900</v>
      </c>
      <c r="AB51">
        <v>0.1</v>
      </c>
      <c r="AC51">
        <v>-1.45999733476235E-2</v>
      </c>
      <c r="AD51">
        <v>1.8324662444591699E-2</v>
      </c>
      <c r="AE51">
        <v>308.13900146484298</v>
      </c>
      <c r="AF51">
        <v>181.33000183105401</v>
      </c>
      <c r="AG51">
        <v>183.19000244140599</v>
      </c>
      <c r="AH51">
        <v>180.42999267578099</v>
      </c>
      <c r="AI51">
        <v>182.11999511718699</v>
      </c>
      <c r="AJ51">
        <v>172.03059387207</v>
      </c>
      <c r="AK51">
        <v>7144500</v>
      </c>
      <c r="AL51">
        <v>0.1</v>
      </c>
      <c r="AM51">
        <v>1.9806372206840799E-3</v>
      </c>
      <c r="AN51">
        <v>1.10347108916201E-2</v>
      </c>
      <c r="AO51">
        <v>179.07699890136701</v>
      </c>
      <c r="AP51">
        <v>63.4799995422363</v>
      </c>
      <c r="AQ51">
        <v>64.040000915527301</v>
      </c>
      <c r="AR51">
        <v>63.159999847412102</v>
      </c>
      <c r="AS51">
        <v>63.830001831054602</v>
      </c>
      <c r="AT51">
        <v>60.079227447509702</v>
      </c>
      <c r="AU51">
        <v>12703500</v>
      </c>
      <c r="AV51">
        <v>0.1</v>
      </c>
      <c r="AW51">
        <v>6.1475916265469801E-3</v>
      </c>
      <c r="AX51">
        <v>6.6936323802684796E-3</v>
      </c>
      <c r="AY51">
        <v>62.653999710082999</v>
      </c>
      <c r="AZ51">
        <v>0.66500002145767201</v>
      </c>
      <c r="BA51">
        <v>0.67299997806548995</v>
      </c>
      <c r="BB51">
        <v>0.66000002622604304</v>
      </c>
      <c r="BC51">
        <v>0.66799998283386197</v>
      </c>
      <c r="BD51">
        <v>0.66799998283386197</v>
      </c>
      <c r="BE51">
        <v>0</v>
      </c>
      <c r="BF51">
        <v>0.5</v>
      </c>
      <c r="BG51">
        <v>1.2121145893831699E-2</v>
      </c>
      <c r="BH51">
        <v>0.100570176787594</v>
      </c>
      <c r="BI51">
        <v>0.577799996733665</v>
      </c>
      <c r="BJ51">
        <f t="shared" si="0"/>
        <v>2.3084379132602955E-3</v>
      </c>
    </row>
    <row r="52" spans="1:62">
      <c r="A52" s="2">
        <v>44662</v>
      </c>
      <c r="B52">
        <v>168.71000671386699</v>
      </c>
      <c r="C52">
        <v>169.02999877929599</v>
      </c>
      <c r="D52">
        <v>165.5</v>
      </c>
      <c r="E52">
        <v>165.75</v>
      </c>
      <c r="F52">
        <v>163.87728881835901</v>
      </c>
      <c r="G52">
        <v>72246700</v>
      </c>
      <c r="H52">
        <v>0.1</v>
      </c>
      <c r="I52">
        <v>-2.5515882364234001E-2</v>
      </c>
      <c r="J52">
        <v>1.7209564199852999E-2</v>
      </c>
      <c r="K52">
        <v>173.89600067138599</v>
      </c>
      <c r="L52">
        <v>131.82350158691401</v>
      </c>
      <c r="M52">
        <v>132.09249877929599</v>
      </c>
      <c r="N52">
        <v>128.66850280761699</v>
      </c>
      <c r="O52">
        <v>128.82350158691401</v>
      </c>
      <c r="P52">
        <v>128.82350158691401</v>
      </c>
      <c r="Q52">
        <v>36884000</v>
      </c>
      <c r="R52">
        <v>0.1</v>
      </c>
      <c r="S52">
        <v>-3.3491545060004797E-2</v>
      </c>
      <c r="T52">
        <v>1.9148678527500899E-2</v>
      </c>
      <c r="U52">
        <v>138.177201843261</v>
      </c>
      <c r="V52">
        <v>291.79000854492102</v>
      </c>
      <c r="W52">
        <v>292.60998535156199</v>
      </c>
      <c r="X52">
        <v>285</v>
      </c>
      <c r="Y52">
        <v>285.260009765625</v>
      </c>
      <c r="Z52">
        <v>280.18908691406199</v>
      </c>
      <c r="AA52">
        <v>34569300</v>
      </c>
      <c r="AB52">
        <v>0.1</v>
      </c>
      <c r="AC52">
        <v>-3.9431563480970697E-2</v>
      </c>
      <c r="AD52">
        <v>2.03853061065302E-2</v>
      </c>
      <c r="AE52">
        <v>305.59500122070301</v>
      </c>
      <c r="AF52">
        <v>183</v>
      </c>
      <c r="AG52">
        <v>184.19999694824199</v>
      </c>
      <c r="AH52">
        <v>179.600006103515</v>
      </c>
      <c r="AI52">
        <v>179.83999633789</v>
      </c>
      <c r="AJ52">
        <v>169.87687683105401</v>
      </c>
      <c r="AK52">
        <v>5932000</v>
      </c>
      <c r="AL52">
        <v>0.1</v>
      </c>
      <c r="AM52">
        <v>-1.25192117308688E-2</v>
      </c>
      <c r="AN52">
        <v>1.13311304646089E-2</v>
      </c>
      <c r="AO52">
        <v>179.27799835204999</v>
      </c>
      <c r="AP52">
        <v>63.909999847412102</v>
      </c>
      <c r="AQ52">
        <v>64.300003051757798</v>
      </c>
      <c r="AR52">
        <v>63.639999389648402</v>
      </c>
      <c r="AS52">
        <v>63.810001373291001</v>
      </c>
      <c r="AT52">
        <v>60.060398101806598</v>
      </c>
      <c r="AU52">
        <v>12720100</v>
      </c>
      <c r="AV52">
        <v>0.1</v>
      </c>
      <c r="AW52">
        <v>-3.13339451510685E-4</v>
      </c>
      <c r="AX52">
        <v>6.6431973341621597E-3</v>
      </c>
      <c r="AY52">
        <v>62.843000030517501</v>
      </c>
      <c r="AZ52">
        <v>0.67500001192092896</v>
      </c>
      <c r="BA52">
        <v>0.69300001859664895</v>
      </c>
      <c r="BB52">
        <v>0.67299997806548995</v>
      </c>
      <c r="BC52">
        <v>0.68000000715255704</v>
      </c>
      <c r="BD52">
        <v>0.68000000715255704</v>
      </c>
      <c r="BE52">
        <v>0</v>
      </c>
      <c r="BF52">
        <v>0.5</v>
      </c>
      <c r="BG52">
        <v>1.7964108723157901E-2</v>
      </c>
      <c r="BH52">
        <v>0.100644582717381</v>
      </c>
      <c r="BI52">
        <v>0.59499999582767404</v>
      </c>
      <c r="BJ52">
        <f t="shared" si="0"/>
        <v>-2.1450998471799483E-3</v>
      </c>
    </row>
    <row r="53" spans="1:62">
      <c r="A53" s="2">
        <v>44663</v>
      </c>
      <c r="B53">
        <v>168.02000427246</v>
      </c>
      <c r="C53">
        <v>169.86999511718699</v>
      </c>
      <c r="D53">
        <v>166.63999938964801</v>
      </c>
      <c r="E53">
        <v>167.66000366210901</v>
      </c>
      <c r="F53">
        <v>165.76568603515599</v>
      </c>
      <c r="G53">
        <v>79265200</v>
      </c>
      <c r="H53">
        <v>0.1</v>
      </c>
      <c r="I53">
        <v>1.1523400676376199E-2</v>
      </c>
      <c r="J53">
        <v>1.62902325476635E-2</v>
      </c>
      <c r="K53">
        <v>172.76600036620999</v>
      </c>
      <c r="L53">
        <v>131.600006103515</v>
      </c>
      <c r="M53">
        <v>131.600006103515</v>
      </c>
      <c r="N53">
        <v>126.789001464843</v>
      </c>
      <c r="O53">
        <v>127.71450042724599</v>
      </c>
      <c r="P53">
        <v>127.71450042724599</v>
      </c>
      <c r="Q53">
        <v>32710000</v>
      </c>
      <c r="R53">
        <v>0.1</v>
      </c>
      <c r="S53">
        <v>-8.6086866604829695E-3</v>
      </c>
      <c r="T53">
        <v>1.83628867097732E-2</v>
      </c>
      <c r="U53">
        <v>136.69810256957999</v>
      </c>
      <c r="V53">
        <v>289.239990234375</v>
      </c>
      <c r="W53">
        <v>290.739990234375</v>
      </c>
      <c r="X53">
        <v>280.489990234375</v>
      </c>
      <c r="Y53">
        <v>282.05999755859301</v>
      </c>
      <c r="Z53">
        <v>277.04598999023398</v>
      </c>
      <c r="AA53">
        <v>30966700</v>
      </c>
      <c r="AB53">
        <v>0.1</v>
      </c>
      <c r="AC53">
        <v>-1.12178787684276E-2</v>
      </c>
      <c r="AD53">
        <v>1.8599000522480199E-2</v>
      </c>
      <c r="AE53">
        <v>302.26000061035103</v>
      </c>
      <c r="AF53">
        <v>179.19999694824199</v>
      </c>
      <c r="AG53">
        <v>180.80999755859301</v>
      </c>
      <c r="AH53">
        <v>178.19999694824199</v>
      </c>
      <c r="AI53">
        <v>179.89999389648401</v>
      </c>
      <c r="AJ53">
        <v>169.93356323242099</v>
      </c>
      <c r="AK53">
        <v>5957500</v>
      </c>
      <c r="AL53">
        <v>0.1</v>
      </c>
      <c r="AM53">
        <v>3.3361632459683E-4</v>
      </c>
      <c r="AN53">
        <v>9.8861640134177992E-3</v>
      </c>
      <c r="AO53">
        <v>179.49399719238201</v>
      </c>
      <c r="AP53">
        <v>64.379997253417898</v>
      </c>
      <c r="AQ53">
        <v>64.809997558593693</v>
      </c>
      <c r="AR53">
        <v>63.889999389648402</v>
      </c>
      <c r="AS53">
        <v>64.559997558593693</v>
      </c>
      <c r="AT53">
        <v>60.766323089599602</v>
      </c>
      <c r="AU53">
        <v>18089900</v>
      </c>
      <c r="AV53">
        <v>0.1</v>
      </c>
      <c r="AW53">
        <v>1.1753583594446599E-2</v>
      </c>
      <c r="AX53">
        <v>6.03572825793019E-3</v>
      </c>
      <c r="AY53">
        <v>63.082999801635701</v>
      </c>
      <c r="AZ53">
        <v>0.76499998569488503</v>
      </c>
      <c r="BA53">
        <v>0.76800000667571999</v>
      </c>
      <c r="BB53">
        <v>0.70999997854232699</v>
      </c>
      <c r="BC53">
        <v>0.73799997568130404</v>
      </c>
      <c r="BD53">
        <v>0.73799997568130404</v>
      </c>
      <c r="BE53">
        <v>0</v>
      </c>
      <c r="BF53">
        <v>0.5</v>
      </c>
      <c r="BG53">
        <v>8.5294070468642402E-2</v>
      </c>
      <c r="BH53">
        <v>9.5093765508198702E-2</v>
      </c>
      <c r="BI53">
        <v>0.61329999268054902</v>
      </c>
      <c r="BJ53">
        <f t="shared" si="0"/>
        <v>4.3025438750972117E-2</v>
      </c>
    </row>
    <row r="54" spans="1:62">
      <c r="A54" s="2">
        <v>44664</v>
      </c>
      <c r="B54">
        <v>167.38999938964801</v>
      </c>
      <c r="C54">
        <v>171.03999328613199</v>
      </c>
      <c r="D54">
        <v>166.77000427246</v>
      </c>
      <c r="E54">
        <v>170.39999389648401</v>
      </c>
      <c r="F54">
        <v>168.47473144531199</v>
      </c>
      <c r="G54">
        <v>70618900</v>
      </c>
      <c r="H54">
        <v>0.1</v>
      </c>
      <c r="I54">
        <v>1.6342539511671399E-2</v>
      </c>
      <c r="J54">
        <v>1.5494249674194801E-2</v>
      </c>
      <c r="K54">
        <v>172.028999328613</v>
      </c>
      <c r="L54">
        <v>128</v>
      </c>
      <c r="M54">
        <v>130.33399963378901</v>
      </c>
      <c r="N54">
        <v>127.740997314453</v>
      </c>
      <c r="O54">
        <v>129.89399719238199</v>
      </c>
      <c r="P54">
        <v>129.89399719238199</v>
      </c>
      <c r="Q54">
        <v>27928000</v>
      </c>
      <c r="R54">
        <v>0.1</v>
      </c>
      <c r="S54">
        <v>1.7065382222422699E-2</v>
      </c>
      <c r="T54">
        <v>1.7285184233706501E-2</v>
      </c>
      <c r="U54">
        <v>135.49365158081</v>
      </c>
      <c r="V54">
        <v>282.73001098632801</v>
      </c>
      <c r="W54">
        <v>288.579986572265</v>
      </c>
      <c r="X54">
        <v>281.29998779296801</v>
      </c>
      <c r="Y54">
        <v>287.61999511718699</v>
      </c>
      <c r="Z54">
        <v>282.50711059570301</v>
      </c>
      <c r="AA54">
        <v>21907200</v>
      </c>
      <c r="AB54">
        <v>0.1</v>
      </c>
      <c r="AC54">
        <v>1.9712109504073701E-2</v>
      </c>
      <c r="AD54">
        <v>1.8232215015114499E-2</v>
      </c>
      <c r="AE54">
        <v>299.63600158691401</v>
      </c>
      <c r="AF54">
        <v>179.89999389648401</v>
      </c>
      <c r="AG54">
        <v>180.83999633789</v>
      </c>
      <c r="AH54">
        <v>179.24000549316401</v>
      </c>
      <c r="AI54">
        <v>180.66000366210901</v>
      </c>
      <c r="AJ54">
        <v>170.65147399902301</v>
      </c>
      <c r="AK54">
        <v>5643100</v>
      </c>
      <c r="AL54">
        <v>0.1</v>
      </c>
      <c r="AM54">
        <v>4.2246236320737599E-3</v>
      </c>
      <c r="AN54">
        <v>9.6016302062688994E-3</v>
      </c>
      <c r="AO54">
        <v>179.60099792480401</v>
      </c>
      <c r="AP54">
        <v>64.440002441406193</v>
      </c>
      <c r="AQ54">
        <v>64.870002746582003</v>
      </c>
      <c r="AR54">
        <v>64.230003356933594</v>
      </c>
      <c r="AS54">
        <v>64.730003356933594</v>
      </c>
      <c r="AT54">
        <v>60.926345825195298</v>
      </c>
      <c r="AU54">
        <v>11883000</v>
      </c>
      <c r="AV54">
        <v>0.1</v>
      </c>
      <c r="AW54">
        <v>2.6332993303717E-3</v>
      </c>
      <c r="AX54">
        <v>5.8395034376634604E-3</v>
      </c>
      <c r="AY54">
        <v>63.335000228881803</v>
      </c>
      <c r="AZ54">
        <v>0.73500001430511397</v>
      </c>
      <c r="BA54">
        <v>0.74000000953674305</v>
      </c>
      <c r="BB54">
        <v>0.69999998807907104</v>
      </c>
      <c r="BC54">
        <v>0.74000000953674305</v>
      </c>
      <c r="BD54">
        <v>0.74000000953674305</v>
      </c>
      <c r="BE54">
        <v>0</v>
      </c>
      <c r="BF54">
        <v>0.5</v>
      </c>
      <c r="BG54">
        <v>2.7100730641513799E-3</v>
      </c>
      <c r="BH54">
        <v>9.4173832592608198E-2</v>
      </c>
      <c r="BI54">
        <v>0.63479999601840897</v>
      </c>
      <c r="BJ54">
        <f t="shared" si="0"/>
        <v>7.3528319521370166E-3</v>
      </c>
    </row>
    <row r="55" spans="1:62">
      <c r="A55" s="2">
        <v>44665</v>
      </c>
      <c r="B55">
        <v>170.61999511718699</v>
      </c>
      <c r="C55">
        <v>171.27000427246</v>
      </c>
      <c r="D55">
        <v>165.03999328613199</v>
      </c>
      <c r="E55">
        <v>165.28999328613199</v>
      </c>
      <c r="F55">
        <v>163.42245483398401</v>
      </c>
      <c r="G55">
        <v>75329400</v>
      </c>
      <c r="H55">
        <v>0.1</v>
      </c>
      <c r="I55">
        <v>-2.9988267566815802E-2</v>
      </c>
      <c r="J55">
        <v>1.71681422188385E-2</v>
      </c>
      <c r="K55">
        <v>171.09699859619101</v>
      </c>
      <c r="L55">
        <v>130.47950744628901</v>
      </c>
      <c r="M55">
        <v>130.47950744628901</v>
      </c>
      <c r="N55">
        <v>126.60099792480401</v>
      </c>
      <c r="O55">
        <v>126.730003356933</v>
      </c>
      <c r="P55">
        <v>126.730003356933</v>
      </c>
      <c r="Q55">
        <v>31598000</v>
      </c>
      <c r="R55">
        <v>0.1</v>
      </c>
      <c r="S55">
        <v>-2.4358276008421699E-2</v>
      </c>
      <c r="T55">
        <v>1.7986082026354301E-2</v>
      </c>
      <c r="U55">
        <v>134.25990142822201</v>
      </c>
      <c r="V55">
        <v>288.08999633789</v>
      </c>
      <c r="W55">
        <v>288.30999755859301</v>
      </c>
      <c r="X55">
        <v>279.32000732421801</v>
      </c>
      <c r="Y55">
        <v>279.829986572265</v>
      </c>
      <c r="Z55">
        <v>274.85559082031199</v>
      </c>
      <c r="AA55">
        <v>28221600</v>
      </c>
      <c r="AB55">
        <v>0.1</v>
      </c>
      <c r="AC55">
        <v>-2.70843775716911E-2</v>
      </c>
      <c r="AD55">
        <v>1.91073851513642E-2</v>
      </c>
      <c r="AE55">
        <v>296.788000488281</v>
      </c>
      <c r="AF55">
        <v>180</v>
      </c>
      <c r="AG55">
        <v>181.39999389648401</v>
      </c>
      <c r="AH55">
        <v>179.72999572753901</v>
      </c>
      <c r="AI55">
        <v>179.89999389648401</v>
      </c>
      <c r="AJ55">
        <v>169.93356323242099</v>
      </c>
      <c r="AK55">
        <v>6188200</v>
      </c>
      <c r="AL55">
        <v>0.1</v>
      </c>
      <c r="AM55">
        <v>-4.2068512687869399E-3</v>
      </c>
      <c r="AN55">
        <v>9.3048278460764501E-3</v>
      </c>
      <c r="AO55">
        <v>179.86799774169901</v>
      </c>
      <c r="AP55">
        <v>64.959999084472599</v>
      </c>
      <c r="AQ55">
        <v>65.569999694824205</v>
      </c>
      <c r="AR55">
        <v>64.819999694824205</v>
      </c>
      <c r="AS55">
        <v>65.019996643066406</v>
      </c>
      <c r="AT55">
        <v>61.1992988586425</v>
      </c>
      <c r="AU55">
        <v>16388400</v>
      </c>
      <c r="AV55">
        <v>0.1</v>
      </c>
      <c r="AW55">
        <v>4.4800443549142203E-3</v>
      </c>
      <c r="AX55">
        <v>5.6478920604195104E-3</v>
      </c>
      <c r="AY55">
        <v>63.636999893188403</v>
      </c>
      <c r="AZ55">
        <v>0.74800002574920599</v>
      </c>
      <c r="BA55">
        <v>0.76300001144409102</v>
      </c>
      <c r="BB55">
        <v>0.730000019073486</v>
      </c>
      <c r="BC55">
        <v>0.74800002574920599</v>
      </c>
      <c r="BD55">
        <v>0.74800002574920599</v>
      </c>
      <c r="BE55">
        <v>0</v>
      </c>
      <c r="BF55">
        <v>0.5</v>
      </c>
      <c r="BG55">
        <v>1.08108325802205E-2</v>
      </c>
      <c r="BH55">
        <v>8.1881751787500998E-2</v>
      </c>
      <c r="BI55">
        <v>0.66029999852180399</v>
      </c>
      <c r="BJ55">
        <f t="shared" si="0"/>
        <v>-2.7103565159698828E-3</v>
      </c>
    </row>
    <row r="56" spans="1:62">
      <c r="A56" s="2">
        <v>44669</v>
      </c>
      <c r="B56">
        <v>163.919998168945</v>
      </c>
      <c r="C56">
        <v>166.600006103515</v>
      </c>
      <c r="D56">
        <v>163.57000732421801</v>
      </c>
      <c r="E56">
        <v>165.07000732421801</v>
      </c>
      <c r="F56">
        <v>163.20495605468699</v>
      </c>
      <c r="G56">
        <v>69023900</v>
      </c>
      <c r="H56">
        <v>0.1</v>
      </c>
      <c r="I56">
        <v>-1.3309091345490201E-3</v>
      </c>
      <c r="J56">
        <v>1.6558721288595899E-2</v>
      </c>
      <c r="K56">
        <v>170.17299957275301</v>
      </c>
      <c r="L56">
        <v>127</v>
      </c>
      <c r="M56">
        <v>128.21249389648401</v>
      </c>
      <c r="N56">
        <v>126.181999206542</v>
      </c>
      <c r="O56">
        <v>127.676498413085</v>
      </c>
      <c r="P56">
        <v>127.676498413085</v>
      </c>
      <c r="Q56">
        <v>20808000</v>
      </c>
      <c r="R56">
        <v>0.1</v>
      </c>
      <c r="S56">
        <v>7.4685948952952696E-3</v>
      </c>
      <c r="T56">
        <v>1.7556426144515601E-2</v>
      </c>
      <c r="U56">
        <v>133.01250152587801</v>
      </c>
      <c r="V56">
        <v>278.91000366210898</v>
      </c>
      <c r="W56">
        <v>282.45999145507801</v>
      </c>
      <c r="X56">
        <v>278.33999633789</v>
      </c>
      <c r="Y56">
        <v>280.51998901367102</v>
      </c>
      <c r="Z56">
        <v>275.53335571289</v>
      </c>
      <c r="AA56">
        <v>20778000</v>
      </c>
      <c r="AB56">
        <v>0.1</v>
      </c>
      <c r="AC56">
        <v>2.4657916396249001E-3</v>
      </c>
      <c r="AD56">
        <v>1.8558574606639101E-2</v>
      </c>
      <c r="AE56">
        <v>293.89799804687499</v>
      </c>
      <c r="AF56">
        <v>179.72999572753901</v>
      </c>
      <c r="AG56">
        <v>180.38999938964801</v>
      </c>
      <c r="AH56">
        <v>176.74000549316401</v>
      </c>
      <c r="AI56">
        <v>177.66000366210901</v>
      </c>
      <c r="AJ56">
        <v>167.81767272949199</v>
      </c>
      <c r="AK56">
        <v>6318700</v>
      </c>
      <c r="AL56">
        <v>0.1</v>
      </c>
      <c r="AM56">
        <v>-1.24513080065133E-2</v>
      </c>
      <c r="AN56">
        <v>9.4019729470169403E-3</v>
      </c>
      <c r="AO56">
        <v>179.81499786376901</v>
      </c>
      <c r="AP56">
        <v>64.769996643066406</v>
      </c>
      <c r="AQ56">
        <v>65.180000305175696</v>
      </c>
      <c r="AR56">
        <v>64.180000305175696</v>
      </c>
      <c r="AS56">
        <v>64.440002441406193</v>
      </c>
      <c r="AT56">
        <v>60.653385162353501</v>
      </c>
      <c r="AU56">
        <v>11679400</v>
      </c>
      <c r="AV56">
        <v>0.1</v>
      </c>
      <c r="AW56">
        <v>-8.9202434882316092E-3</v>
      </c>
      <c r="AX56">
        <v>6.2976811876353997E-3</v>
      </c>
      <c r="AY56">
        <v>63.794000244140598</v>
      </c>
      <c r="AZ56">
        <v>0.75</v>
      </c>
      <c r="BA56">
        <v>0.75800001621246305</v>
      </c>
      <c r="BB56">
        <v>0.730000019073486</v>
      </c>
      <c r="BC56">
        <v>0.75499999523162797</v>
      </c>
      <c r="BD56">
        <v>0.75499999523162797</v>
      </c>
      <c r="BE56">
        <v>0</v>
      </c>
      <c r="BF56">
        <v>0.5</v>
      </c>
      <c r="BG56">
        <v>9.35824764900328E-3</v>
      </c>
      <c r="BH56">
        <v>8.1958989143631603E-2</v>
      </c>
      <c r="BI56">
        <v>0.68579999804496705</v>
      </c>
      <c r="BJ56">
        <f t="shared" si="0"/>
        <v>3.4023164150642641E-3</v>
      </c>
    </row>
    <row r="57" spans="1:62">
      <c r="A57" s="2">
        <v>44670</v>
      </c>
      <c r="B57">
        <v>165.02000427246</v>
      </c>
      <c r="C57">
        <v>167.82000732421801</v>
      </c>
      <c r="D57">
        <v>163.91000366210901</v>
      </c>
      <c r="E57">
        <v>167.39999389648401</v>
      </c>
      <c r="F57">
        <v>165.50859069824199</v>
      </c>
      <c r="G57">
        <v>67723800</v>
      </c>
      <c r="H57">
        <v>0.1</v>
      </c>
      <c r="I57">
        <v>1.41151418724374E-2</v>
      </c>
      <c r="J57">
        <v>1.6747774417933299E-2</v>
      </c>
      <c r="K57">
        <v>169.06899871826101</v>
      </c>
      <c r="L57">
        <v>127.69149780273401</v>
      </c>
      <c r="M57">
        <v>130.33299255371</v>
      </c>
      <c r="N57">
        <v>126.99949645996</v>
      </c>
      <c r="O57">
        <v>130.00900268554599</v>
      </c>
      <c r="P57">
        <v>130.00900268554599</v>
      </c>
      <c r="Q57">
        <v>26490000</v>
      </c>
      <c r="R57">
        <v>0.1</v>
      </c>
      <c r="S57">
        <v>1.82688615481474E-2</v>
      </c>
      <c r="T57">
        <v>1.8188530839077299E-2</v>
      </c>
      <c r="U57">
        <v>131.71625213623</v>
      </c>
      <c r="V57">
        <v>279.38000488281199</v>
      </c>
      <c r="W57">
        <v>286.17001342773398</v>
      </c>
      <c r="X57">
        <v>278.41000366210898</v>
      </c>
      <c r="Y57">
        <v>285.29998779296801</v>
      </c>
      <c r="Z57">
        <v>280.22836303710898</v>
      </c>
      <c r="AA57">
        <v>22297700</v>
      </c>
      <c r="AB57">
        <v>0.1</v>
      </c>
      <c r="AC57">
        <v>1.7039779575436599E-2</v>
      </c>
      <c r="AD57">
        <v>1.9101428148082199E-2</v>
      </c>
      <c r="AE57">
        <v>290.93099670410101</v>
      </c>
      <c r="AF57">
        <v>180.72000122070301</v>
      </c>
      <c r="AG57">
        <v>185.94000244140599</v>
      </c>
      <c r="AH57">
        <v>179.94999694824199</v>
      </c>
      <c r="AI57">
        <v>183.08000183105401</v>
      </c>
      <c r="AJ57">
        <v>172.937408447265</v>
      </c>
      <c r="AK57">
        <v>14380800</v>
      </c>
      <c r="AL57">
        <v>0.1</v>
      </c>
      <c r="AM57">
        <v>3.0507700423408599E-2</v>
      </c>
      <c r="AN57">
        <v>1.1483376693493899E-2</v>
      </c>
      <c r="AO57">
        <v>180.47599792480401</v>
      </c>
      <c r="AP57">
        <v>64.5</v>
      </c>
      <c r="AQ57">
        <v>65.25</v>
      </c>
      <c r="AR57">
        <v>64.440002441406193</v>
      </c>
      <c r="AS57">
        <v>65.069999694824205</v>
      </c>
      <c r="AT57">
        <v>61.2463569641113</v>
      </c>
      <c r="AU57">
        <v>11993800</v>
      </c>
      <c r="AV57">
        <v>0.1</v>
      </c>
      <c r="AW57">
        <v>9.7764933201363001E-3</v>
      </c>
      <c r="AX57">
        <v>6.3768433580023596E-3</v>
      </c>
      <c r="AY57">
        <v>64.047000122070301</v>
      </c>
      <c r="AZ57">
        <v>0.83999997377395597</v>
      </c>
      <c r="BA57">
        <v>0.84500002861022905</v>
      </c>
      <c r="BB57">
        <v>0.82300001382827703</v>
      </c>
      <c r="BC57">
        <v>0.83300000429153398</v>
      </c>
      <c r="BD57">
        <v>0.83300000429153398</v>
      </c>
      <c r="BE57">
        <v>0</v>
      </c>
      <c r="BF57">
        <v>0.5</v>
      </c>
      <c r="BG57">
        <v>0.103311270930506</v>
      </c>
      <c r="BH57">
        <v>7.5723794140843598E-2</v>
      </c>
      <c r="BI57">
        <v>0.71529999971389702</v>
      </c>
      <c r="BJ57">
        <f t="shared" si="0"/>
        <v>6.0626433139209623E-2</v>
      </c>
    </row>
    <row r="58" spans="1:62">
      <c r="A58" s="2">
        <v>44671</v>
      </c>
      <c r="B58">
        <v>168.759994506835</v>
      </c>
      <c r="C58">
        <v>168.88000488281199</v>
      </c>
      <c r="D58">
        <v>166.100006103515</v>
      </c>
      <c r="E58">
        <v>167.22999572753901</v>
      </c>
      <c r="F58">
        <v>165.34053039550699</v>
      </c>
      <c r="G58">
        <v>67929800</v>
      </c>
      <c r="H58">
        <v>0.1</v>
      </c>
      <c r="I58">
        <v>-1.0155207595194901E-3</v>
      </c>
      <c r="J58">
        <v>1.6069196383838601E-2</v>
      </c>
      <c r="K58">
        <v>168.28599853515601</v>
      </c>
      <c r="L58">
        <v>130.891998291015</v>
      </c>
      <c r="M58">
        <v>131.399002075195</v>
      </c>
      <c r="N58">
        <v>127.5</v>
      </c>
      <c r="O58">
        <v>128.03999328613199</v>
      </c>
      <c r="P58">
        <v>128.03999328613199</v>
      </c>
      <c r="Q58">
        <v>31696000</v>
      </c>
      <c r="R58">
        <v>0.1</v>
      </c>
      <c r="S58">
        <v>-1.51451773241927E-2</v>
      </c>
      <c r="T58">
        <v>1.69753520571693E-2</v>
      </c>
      <c r="U58">
        <v>130.46115112304599</v>
      </c>
      <c r="V58">
        <v>289.39999389648398</v>
      </c>
      <c r="W58">
        <v>289.70001220703102</v>
      </c>
      <c r="X58">
        <v>285.36999511718699</v>
      </c>
      <c r="Y58">
        <v>286.35998535156199</v>
      </c>
      <c r="Z58">
        <v>281.26953125</v>
      </c>
      <c r="AA58">
        <v>22906700</v>
      </c>
      <c r="AB58">
        <v>0.1</v>
      </c>
      <c r="AC58">
        <v>3.7153789132404699E-3</v>
      </c>
      <c r="AD58">
        <v>1.86580828567257E-2</v>
      </c>
      <c r="AE58">
        <v>288.47899475097603</v>
      </c>
      <c r="AF58">
        <v>182.24000549316401</v>
      </c>
      <c r="AG58">
        <v>184.32000732421801</v>
      </c>
      <c r="AH58">
        <v>181.89999389648401</v>
      </c>
      <c r="AI58">
        <v>183.88999938964801</v>
      </c>
      <c r="AJ58">
        <v>173.70252990722599</v>
      </c>
      <c r="AK58">
        <v>8044900</v>
      </c>
      <c r="AL58">
        <v>0.1</v>
      </c>
      <c r="AM58">
        <v>4.4242820105562198E-3</v>
      </c>
      <c r="AN58">
        <v>1.13797556017253E-2</v>
      </c>
      <c r="AO58">
        <v>181.103997802734</v>
      </c>
      <c r="AP58">
        <v>65.440002441406193</v>
      </c>
      <c r="AQ58">
        <v>66.239997863769503</v>
      </c>
      <c r="AR58">
        <v>65.400001525878906</v>
      </c>
      <c r="AS58">
        <v>65.959999084472599</v>
      </c>
      <c r="AT58">
        <v>62.084060668945298</v>
      </c>
      <c r="AU58">
        <v>14827100</v>
      </c>
      <c r="AV58">
        <v>0.1</v>
      </c>
      <c r="AW58">
        <v>1.36775686771553E-2</v>
      </c>
      <c r="AX58">
        <v>6.7633551065166301E-3</v>
      </c>
      <c r="AY58">
        <v>64.395999908447195</v>
      </c>
      <c r="AZ58">
        <v>0.82999998331069902</v>
      </c>
      <c r="BA58">
        <v>0.84500002861022905</v>
      </c>
      <c r="BB58">
        <v>0.79000002145767201</v>
      </c>
      <c r="BC58">
        <v>0.79500001668929998</v>
      </c>
      <c r="BD58">
        <v>0.79500001668929998</v>
      </c>
      <c r="BE58">
        <v>0</v>
      </c>
      <c r="BF58">
        <v>0.5</v>
      </c>
      <c r="BG58">
        <v>-4.5618232180626203E-2</v>
      </c>
      <c r="BH58">
        <v>7.3043221659384594E-2</v>
      </c>
      <c r="BI58">
        <v>0.72800000309944102</v>
      </c>
      <c r="BJ58">
        <f t="shared" si="0"/>
        <v>-2.2243462938589122E-2</v>
      </c>
    </row>
    <row r="59" spans="1:62">
      <c r="A59" s="2">
        <v>44672</v>
      </c>
      <c r="B59">
        <v>168.91000366210901</v>
      </c>
      <c r="C59">
        <v>171.52999877929599</v>
      </c>
      <c r="D59">
        <v>165.91000366210901</v>
      </c>
      <c r="E59">
        <v>166.419998168945</v>
      </c>
      <c r="F59">
        <v>164.53967285156199</v>
      </c>
      <c r="G59">
        <v>87227800</v>
      </c>
      <c r="H59">
        <v>0.1</v>
      </c>
      <c r="I59">
        <v>-4.8436140602039403E-3</v>
      </c>
      <c r="J59">
        <v>1.59672776016875E-2</v>
      </c>
      <c r="K59">
        <v>167.74499816894499</v>
      </c>
      <c r="L59">
        <v>129.25</v>
      </c>
      <c r="M59">
        <v>130.09849548339801</v>
      </c>
      <c r="N59">
        <v>124.526496887207</v>
      </c>
      <c r="O59">
        <v>124.814498901367</v>
      </c>
      <c r="P59">
        <v>124.814498901367</v>
      </c>
      <c r="Q59">
        <v>36446000</v>
      </c>
      <c r="R59">
        <v>0.1</v>
      </c>
      <c r="S59">
        <v>-2.5191303919842901E-2</v>
      </c>
      <c r="T59">
        <v>1.7550841179855999E-2</v>
      </c>
      <c r="U59">
        <v>129.287800598144</v>
      </c>
      <c r="V59">
        <v>288.579986572265</v>
      </c>
      <c r="W59">
        <v>293.29998779296801</v>
      </c>
      <c r="X59">
        <v>280.05999755859301</v>
      </c>
      <c r="Y59">
        <v>280.80999755859301</v>
      </c>
      <c r="Z59">
        <v>275.81817626953102</v>
      </c>
      <c r="AA59">
        <v>29454600</v>
      </c>
      <c r="AB59">
        <v>0.1</v>
      </c>
      <c r="AC59">
        <v>-1.9381156854562001E-2</v>
      </c>
      <c r="AD59">
        <v>1.8832410145729801E-2</v>
      </c>
      <c r="AE59">
        <v>286.60999450683499</v>
      </c>
      <c r="AF59">
        <v>183.92999267578099</v>
      </c>
      <c r="AG59">
        <v>184.86999511718699</v>
      </c>
      <c r="AH59">
        <v>182.55999755859301</v>
      </c>
      <c r="AI59">
        <v>183.36000061035099</v>
      </c>
      <c r="AJ59">
        <v>173.20187377929599</v>
      </c>
      <c r="AK59">
        <v>6969200</v>
      </c>
      <c r="AL59">
        <v>0.1</v>
      </c>
      <c r="AM59">
        <v>-2.8821511830768799E-3</v>
      </c>
      <c r="AN59">
        <v>1.13555012361128E-2</v>
      </c>
      <c r="AO59">
        <v>181.21699829101499</v>
      </c>
      <c r="AP59">
        <v>65.980003356933594</v>
      </c>
      <c r="AQ59">
        <v>67</v>
      </c>
      <c r="AR59">
        <v>65.720001220703097</v>
      </c>
      <c r="AS59">
        <v>66.209999084472599</v>
      </c>
      <c r="AT59">
        <v>62.319377899169901</v>
      </c>
      <c r="AU59">
        <v>15120400</v>
      </c>
      <c r="AV59">
        <v>0.1</v>
      </c>
      <c r="AW59">
        <v>3.79017591676777E-3</v>
      </c>
      <c r="AX59">
        <v>6.2817071462732896E-3</v>
      </c>
      <c r="AY59">
        <v>64.706999969482396</v>
      </c>
      <c r="AZ59">
        <v>0.77999997138976995</v>
      </c>
      <c r="BA59">
        <v>0.808000028133392</v>
      </c>
      <c r="BB59">
        <v>0.77499997615814198</v>
      </c>
      <c r="BC59">
        <v>0.80000001192092896</v>
      </c>
      <c r="BD59">
        <v>0.80000001192092896</v>
      </c>
      <c r="BE59">
        <v>0</v>
      </c>
      <c r="BF59">
        <v>0.5</v>
      </c>
      <c r="BG59">
        <v>6.2893020461187703E-3</v>
      </c>
      <c r="BH59">
        <v>6.9276337837565594E-2</v>
      </c>
      <c r="BI59">
        <v>0.74170000553131099</v>
      </c>
      <c r="BJ59">
        <f t="shared" si="0"/>
        <v>-1.70615398703241E-3</v>
      </c>
    </row>
    <row r="60" spans="1:62">
      <c r="A60" s="2">
        <v>44673</v>
      </c>
      <c r="B60">
        <v>166.46000671386699</v>
      </c>
      <c r="C60">
        <v>167.86999511718699</v>
      </c>
      <c r="D60">
        <v>161.5</v>
      </c>
      <c r="E60">
        <v>161.78999328613199</v>
      </c>
      <c r="F60">
        <v>159.96200561523401</v>
      </c>
      <c r="G60">
        <v>84882400</v>
      </c>
      <c r="H60">
        <v>0.1</v>
      </c>
      <c r="I60">
        <v>-2.7821204985907001E-2</v>
      </c>
      <c r="J60">
        <v>1.6018016686925301E-2</v>
      </c>
      <c r="K60">
        <v>166.70999755859299</v>
      </c>
      <c r="L60">
        <v>125</v>
      </c>
      <c r="M60">
        <v>125.40200042724599</v>
      </c>
      <c r="N60">
        <v>118.925003051757</v>
      </c>
      <c r="O60">
        <v>119.635498046875</v>
      </c>
      <c r="P60">
        <v>119.635498046875</v>
      </c>
      <c r="Q60">
        <v>56884000</v>
      </c>
      <c r="R60">
        <v>0.1</v>
      </c>
      <c r="S60">
        <v>-4.1493583678806498E-2</v>
      </c>
      <c r="T60">
        <v>1.79829089147657E-2</v>
      </c>
      <c r="U60">
        <v>127.66249999999999</v>
      </c>
      <c r="V60">
        <v>281.67999267578102</v>
      </c>
      <c r="W60">
        <v>283.20001220703102</v>
      </c>
      <c r="X60">
        <v>273.38000488281199</v>
      </c>
      <c r="Y60">
        <v>274.02999877929602</v>
      </c>
      <c r="Z60">
        <v>269.15875244140602</v>
      </c>
      <c r="AA60">
        <v>29405800</v>
      </c>
      <c r="AB60">
        <v>0.1</v>
      </c>
      <c r="AC60">
        <v>-2.41444351634316E-2</v>
      </c>
      <c r="AD60">
        <v>1.8870188456852999E-2</v>
      </c>
      <c r="AE60">
        <v>283.87599487304601</v>
      </c>
      <c r="AF60">
        <v>182.47000122070301</v>
      </c>
      <c r="AG60">
        <v>183.14999389648401</v>
      </c>
      <c r="AH60">
        <v>181.38000488281199</v>
      </c>
      <c r="AI60">
        <v>181.53999328613199</v>
      </c>
      <c r="AJ60">
        <v>171.48269653320301</v>
      </c>
      <c r="AK60">
        <v>8003600</v>
      </c>
      <c r="AL60">
        <v>0.1</v>
      </c>
      <c r="AM60">
        <v>-9.9258688817652693E-3</v>
      </c>
      <c r="AN60">
        <v>1.1672123141597599E-2</v>
      </c>
      <c r="AO60">
        <v>181.19499816894501</v>
      </c>
      <c r="AP60">
        <v>66.080001831054602</v>
      </c>
      <c r="AQ60">
        <v>66.339996337890597</v>
      </c>
      <c r="AR60">
        <v>65.180000305175696</v>
      </c>
      <c r="AS60">
        <v>65.25</v>
      </c>
      <c r="AT60">
        <v>61.415779113769503</v>
      </c>
      <c r="AU60">
        <v>14902200</v>
      </c>
      <c r="AV60">
        <v>0.1</v>
      </c>
      <c r="AW60">
        <v>-1.4499306717220399E-2</v>
      </c>
      <c r="AX60">
        <v>7.4744450150092297E-3</v>
      </c>
      <c r="AY60">
        <v>64.888000106811504</v>
      </c>
      <c r="AZ60">
        <v>0.80500000715255704</v>
      </c>
      <c r="BA60">
        <v>0.81300002336501997</v>
      </c>
      <c r="BB60">
        <v>0.77499997615814198</v>
      </c>
      <c r="BC60">
        <v>0.77999997138976995</v>
      </c>
      <c r="BD60">
        <v>0.77999997138976995</v>
      </c>
      <c r="BE60">
        <v>0</v>
      </c>
      <c r="BF60">
        <v>0.5</v>
      </c>
      <c r="BG60">
        <v>-2.5000050291418201E-2</v>
      </c>
      <c r="BH60">
        <v>7.0139002391133007E-2</v>
      </c>
      <c r="BI60">
        <v>0.75370000004768301</v>
      </c>
      <c r="BJ60">
        <f t="shared" si="0"/>
        <v>-2.4288465088422178E-2</v>
      </c>
    </row>
    <row r="61" spans="1:62">
      <c r="A61" s="2">
        <v>44676</v>
      </c>
      <c r="B61">
        <v>161.11999511718699</v>
      </c>
      <c r="C61">
        <v>163.169998168945</v>
      </c>
      <c r="D61">
        <v>158.46000671386699</v>
      </c>
      <c r="E61">
        <v>162.88000488281199</v>
      </c>
      <c r="F61">
        <v>161.03967285156199</v>
      </c>
      <c r="G61">
        <v>96046400</v>
      </c>
      <c r="H61">
        <v>0.1</v>
      </c>
      <c r="I61">
        <v>6.7372003332242204E-3</v>
      </c>
      <c r="J61">
        <v>1.61035313880485E-2</v>
      </c>
      <c r="K61">
        <v>165.988998413085</v>
      </c>
      <c r="L61">
        <v>119.10099792480401</v>
      </c>
      <c r="M61">
        <v>123.27749633789</v>
      </c>
      <c r="N61">
        <v>118.51100158691401</v>
      </c>
      <c r="O61">
        <v>123.073997497558</v>
      </c>
      <c r="P61">
        <v>123.073997497558</v>
      </c>
      <c r="Q61">
        <v>46128000</v>
      </c>
      <c r="R61">
        <v>0.1</v>
      </c>
      <c r="S61">
        <v>2.8741464756023499E-2</v>
      </c>
      <c r="T61">
        <v>1.9724161206996198E-2</v>
      </c>
      <c r="U61">
        <v>126.64114913940401</v>
      </c>
      <c r="V61">
        <v>273.29000854492102</v>
      </c>
      <c r="W61">
        <v>281.10998535156199</v>
      </c>
      <c r="X61">
        <v>270.76998901367102</v>
      </c>
      <c r="Y61">
        <v>280.72000122070301</v>
      </c>
      <c r="Z61">
        <v>275.72982788085898</v>
      </c>
      <c r="AA61">
        <v>35678900</v>
      </c>
      <c r="AB61">
        <v>0.1</v>
      </c>
      <c r="AC61">
        <v>2.4413394413778499E-2</v>
      </c>
      <c r="AD61">
        <v>1.9980929537355099E-2</v>
      </c>
      <c r="AE61">
        <v>282.25099487304601</v>
      </c>
      <c r="AF61">
        <v>182.33999633789</v>
      </c>
      <c r="AG61">
        <v>186.69000244140599</v>
      </c>
      <c r="AH61">
        <v>182.100006103515</v>
      </c>
      <c r="AI61">
        <v>186.009994506835</v>
      </c>
      <c r="AJ61">
        <v>175.705078125</v>
      </c>
      <c r="AK61">
        <v>11176500</v>
      </c>
      <c r="AL61">
        <v>0.1</v>
      </c>
      <c r="AM61">
        <v>2.4622680323986599E-2</v>
      </c>
      <c r="AN61">
        <v>1.26418555078708E-2</v>
      </c>
      <c r="AO61">
        <v>181.58399810790999</v>
      </c>
      <c r="AP61">
        <v>67</v>
      </c>
      <c r="AQ61">
        <v>67.199996948242102</v>
      </c>
      <c r="AR61">
        <v>64.779998779296804</v>
      </c>
      <c r="AS61">
        <v>65.940002441406193</v>
      </c>
      <c r="AT61">
        <v>62.065250396728501</v>
      </c>
      <c r="AU61">
        <v>25082000</v>
      </c>
      <c r="AV61">
        <v>0.1</v>
      </c>
      <c r="AW61">
        <v>1.0574750059865801E-2</v>
      </c>
      <c r="AX61">
        <v>7.5435847031477101E-3</v>
      </c>
      <c r="AY61">
        <v>65.099000167846597</v>
      </c>
      <c r="AZ61">
        <v>0.79500001668929998</v>
      </c>
      <c r="BA61">
        <v>0.80000001192092896</v>
      </c>
      <c r="BB61">
        <v>0.77999997138976995</v>
      </c>
      <c r="BC61">
        <v>0.79799997806548995</v>
      </c>
      <c r="BD61">
        <v>0.79799997806548995</v>
      </c>
      <c r="BE61">
        <v>0</v>
      </c>
      <c r="BF61">
        <v>0.5</v>
      </c>
      <c r="BG61">
        <v>2.30769324819954E-2</v>
      </c>
      <c r="BH61">
        <v>6.9136772806395505E-2</v>
      </c>
      <c r="BI61">
        <v>0.766699999570846</v>
      </c>
      <c r="BJ61">
        <f t="shared" si="0"/>
        <v>2.1047415229685562E-2</v>
      </c>
    </row>
    <row r="62" spans="1:62">
      <c r="A62" s="2">
        <v>44677</v>
      </c>
      <c r="B62">
        <v>162.25</v>
      </c>
      <c r="C62">
        <v>162.33999633789</v>
      </c>
      <c r="D62">
        <v>156.72000122070301</v>
      </c>
      <c r="E62">
        <v>156.80000305175699</v>
      </c>
      <c r="F62">
        <v>155.02841186523401</v>
      </c>
      <c r="G62">
        <v>95623200</v>
      </c>
      <c r="H62">
        <v>0.1</v>
      </c>
      <c r="I62">
        <v>-3.7328104425273498E-2</v>
      </c>
      <c r="J62">
        <v>1.7650342547094199E-2</v>
      </c>
      <c r="K62">
        <v>165.09399871826099</v>
      </c>
      <c r="L62">
        <v>122.2945022583</v>
      </c>
      <c r="M62">
        <v>122.51000213623</v>
      </c>
      <c r="N62">
        <v>118.51100158691401</v>
      </c>
      <c r="O62">
        <v>118.650001525878</v>
      </c>
      <c r="P62">
        <v>118.650001525878</v>
      </c>
      <c r="Q62">
        <v>73054000</v>
      </c>
      <c r="R62">
        <v>0.1</v>
      </c>
      <c r="S62">
        <v>-3.5945821714025702E-2</v>
      </c>
      <c r="T62">
        <v>2.0714297294703098E-2</v>
      </c>
      <c r="U62">
        <v>125.6237991333</v>
      </c>
      <c r="V62">
        <v>277.5</v>
      </c>
      <c r="W62">
        <v>278.35998535156199</v>
      </c>
      <c r="X62">
        <v>270</v>
      </c>
      <c r="Y62">
        <v>270.22000122070301</v>
      </c>
      <c r="Z62">
        <v>265.41647338867102</v>
      </c>
      <c r="AA62">
        <v>46518400</v>
      </c>
      <c r="AB62">
        <v>0.1</v>
      </c>
      <c r="AC62">
        <v>-3.7403818589131603E-2</v>
      </c>
      <c r="AD62">
        <v>2.0281308746487901E-2</v>
      </c>
      <c r="AE62">
        <v>280.74699401855401</v>
      </c>
      <c r="AF62">
        <v>185.100006103515</v>
      </c>
      <c r="AG62">
        <v>186.57000732421801</v>
      </c>
      <c r="AH62">
        <v>184.17999267578099</v>
      </c>
      <c r="AI62">
        <v>184.67999267578099</v>
      </c>
      <c r="AJ62">
        <v>174.44876098632801</v>
      </c>
      <c r="AK62">
        <v>10190000</v>
      </c>
      <c r="AL62">
        <v>0.1</v>
      </c>
      <c r="AM62">
        <v>-7.1501632725751102E-3</v>
      </c>
      <c r="AN62">
        <v>1.2808605311975099E-2</v>
      </c>
      <c r="AO62">
        <v>182.067997741699</v>
      </c>
      <c r="AP62">
        <v>65.519996643066406</v>
      </c>
      <c r="AQ62">
        <v>66.370002746582003</v>
      </c>
      <c r="AR62">
        <v>65.040000915527301</v>
      </c>
      <c r="AS62">
        <v>65.050003051757798</v>
      </c>
      <c r="AT62">
        <v>61.227535247802699</v>
      </c>
      <c r="AU62">
        <v>21982600</v>
      </c>
      <c r="AV62">
        <v>0.1</v>
      </c>
      <c r="AW62">
        <v>-1.34971088367684E-2</v>
      </c>
      <c r="AX62">
        <v>8.4047119277773502E-3</v>
      </c>
      <c r="AY62">
        <v>65.2230003356933</v>
      </c>
      <c r="AZ62">
        <v>0.86500000953674305</v>
      </c>
      <c r="BA62">
        <v>0.87000000476837103</v>
      </c>
      <c r="BB62">
        <v>0.82300001382827703</v>
      </c>
      <c r="BC62">
        <v>0.83300000429153398</v>
      </c>
      <c r="BD62">
        <v>0.83300000429153398</v>
      </c>
      <c r="BE62">
        <v>0</v>
      </c>
      <c r="BF62">
        <v>0.5</v>
      </c>
      <c r="BG62">
        <v>4.3859683193088098E-2</v>
      </c>
      <c r="BH62">
        <v>6.8367587724626699E-2</v>
      </c>
      <c r="BI62">
        <v>0.78199999928474395</v>
      </c>
      <c r="BJ62">
        <f t="shared" si="0"/>
        <v>8.797339912766617E-3</v>
      </c>
    </row>
    <row r="63" spans="1:62">
      <c r="A63" s="2">
        <v>44678</v>
      </c>
      <c r="B63">
        <v>155.91000366210901</v>
      </c>
      <c r="C63">
        <v>159.78999328613199</v>
      </c>
      <c r="D63">
        <v>155.38000488281199</v>
      </c>
      <c r="E63">
        <v>156.57000732421801</v>
      </c>
      <c r="F63">
        <v>154.80099487304599</v>
      </c>
      <c r="G63">
        <v>88063200</v>
      </c>
      <c r="H63">
        <v>0.1</v>
      </c>
      <c r="I63">
        <v>-1.4668094583081201E-3</v>
      </c>
      <c r="J63">
        <v>1.67134937236053E-2</v>
      </c>
      <c r="K63">
        <v>163.98499908447201</v>
      </c>
      <c r="L63">
        <v>114.46949768066401</v>
      </c>
      <c r="M63">
        <v>117.24199676513599</v>
      </c>
      <c r="N63">
        <v>112.73650360107401</v>
      </c>
      <c r="O63">
        <v>114.2945022583</v>
      </c>
      <c r="P63">
        <v>114.2945022583</v>
      </c>
      <c r="Q63">
        <v>91820000</v>
      </c>
      <c r="R63">
        <v>0.1</v>
      </c>
      <c r="S63">
        <v>-3.6708800771722998E-2</v>
      </c>
      <c r="T63">
        <v>2.1266797475471499E-2</v>
      </c>
      <c r="U63">
        <v>124.28179931640599</v>
      </c>
      <c r="V63">
        <v>282.100006103515</v>
      </c>
      <c r="W63">
        <v>290.97000122070301</v>
      </c>
      <c r="X63">
        <v>279.16000366210898</v>
      </c>
      <c r="Y63">
        <v>283.22000122070301</v>
      </c>
      <c r="Z63">
        <v>278.18536376953102</v>
      </c>
      <c r="AA63">
        <v>63477700</v>
      </c>
      <c r="AB63">
        <v>0.1</v>
      </c>
      <c r="AC63">
        <v>4.8108948047047698E-2</v>
      </c>
      <c r="AD63">
        <v>2.3273030947952401E-2</v>
      </c>
      <c r="AE63">
        <v>280.86299438476499</v>
      </c>
      <c r="AF63">
        <v>184.24000549316401</v>
      </c>
      <c r="AG63">
        <v>184.82000732421801</v>
      </c>
      <c r="AH63">
        <v>181.74000549316401</v>
      </c>
      <c r="AI63">
        <v>182.100006103515</v>
      </c>
      <c r="AJ63">
        <v>172.01171875</v>
      </c>
      <c r="AK63">
        <v>11090100</v>
      </c>
      <c r="AL63">
        <v>0.1</v>
      </c>
      <c r="AM63">
        <v>-1.3970038307262501E-2</v>
      </c>
      <c r="AN63">
        <v>1.32902912437414E-2</v>
      </c>
      <c r="AO63">
        <v>182.28799896240201</v>
      </c>
      <c r="AP63">
        <v>65</v>
      </c>
      <c r="AQ63">
        <v>66.279998779296804</v>
      </c>
      <c r="AR63">
        <v>65</v>
      </c>
      <c r="AS63">
        <v>65.559997558593693</v>
      </c>
      <c r="AT63">
        <v>61.707565307617102</v>
      </c>
      <c r="AU63">
        <v>16971000</v>
      </c>
      <c r="AV63">
        <v>0.1</v>
      </c>
      <c r="AW63">
        <v>7.8400381692549301E-3</v>
      </c>
      <c r="AX63">
        <v>8.4851680177177504E-3</v>
      </c>
      <c r="AY63">
        <v>65.323000335693294</v>
      </c>
      <c r="AZ63">
        <v>0.808000028133392</v>
      </c>
      <c r="BA63">
        <v>0.81999999284744196</v>
      </c>
      <c r="BB63">
        <v>0.80000001192092896</v>
      </c>
      <c r="BC63">
        <v>0.808000028133392</v>
      </c>
      <c r="BD63">
        <v>0.808000028133392</v>
      </c>
      <c r="BE63">
        <v>0</v>
      </c>
      <c r="BF63">
        <v>0.5</v>
      </c>
      <c r="BG63">
        <v>-3.0011976025623801E-2</v>
      </c>
      <c r="BH63">
        <v>6.7681070483802397E-2</v>
      </c>
      <c r="BI63">
        <v>0.789000004529953</v>
      </c>
      <c r="BJ63">
        <f t="shared" si="0"/>
        <v>-1.4625654244911001E-2</v>
      </c>
    </row>
    <row r="64" spans="1:62">
      <c r="A64" s="2">
        <v>44679</v>
      </c>
      <c r="B64">
        <v>159.25</v>
      </c>
      <c r="C64">
        <v>164.52000427246</v>
      </c>
      <c r="D64">
        <v>158.92999267578099</v>
      </c>
      <c r="E64">
        <v>163.63999938964801</v>
      </c>
      <c r="F64">
        <v>161.791091918945</v>
      </c>
      <c r="G64">
        <v>130216800</v>
      </c>
      <c r="H64">
        <v>0.1</v>
      </c>
      <c r="I64">
        <v>4.51554687021853E-2</v>
      </c>
      <c r="J64">
        <v>2.03189687893497E-2</v>
      </c>
      <c r="K64">
        <v>163.308999633789</v>
      </c>
      <c r="L64">
        <v>116.415000915527</v>
      </c>
      <c r="M64">
        <v>119.64949798583901</v>
      </c>
      <c r="N64">
        <v>114.11499786376901</v>
      </c>
      <c r="O64">
        <v>118.522499084472</v>
      </c>
      <c r="P64">
        <v>118.522499084472</v>
      </c>
      <c r="Q64">
        <v>48884000</v>
      </c>
      <c r="R64">
        <v>0.1</v>
      </c>
      <c r="S64">
        <v>3.6992127728215397E-2</v>
      </c>
      <c r="T64">
        <v>2.3778649541855601E-2</v>
      </c>
      <c r="U64">
        <v>123.14464950561501</v>
      </c>
      <c r="V64">
        <v>285.19000244140602</v>
      </c>
      <c r="W64">
        <v>290.98001098632801</v>
      </c>
      <c r="X64">
        <v>281.45999145507801</v>
      </c>
      <c r="Y64">
        <v>289.63000488281199</v>
      </c>
      <c r="Z64">
        <v>284.48138427734301</v>
      </c>
      <c r="AA64">
        <v>33646600</v>
      </c>
      <c r="AB64">
        <v>0.1</v>
      </c>
      <c r="AC64">
        <v>2.2632595277458201E-2</v>
      </c>
      <c r="AD64">
        <v>2.40862044942191E-2</v>
      </c>
      <c r="AE64">
        <v>281.06399536132801</v>
      </c>
      <c r="AF64">
        <v>182.25</v>
      </c>
      <c r="AG64">
        <v>184.5</v>
      </c>
      <c r="AH64">
        <v>181.919998168945</v>
      </c>
      <c r="AI64">
        <v>183.46000671386699</v>
      </c>
      <c r="AJ64">
        <v>173.29637145996</v>
      </c>
      <c r="AK64">
        <v>9403900</v>
      </c>
      <c r="AL64">
        <v>0.1</v>
      </c>
      <c r="AM64">
        <v>7.4684270443048303E-3</v>
      </c>
      <c r="AN64">
        <v>1.32001462978738E-2</v>
      </c>
      <c r="AO64">
        <v>182.56799926757799</v>
      </c>
      <c r="AP64">
        <v>64.660003662109304</v>
      </c>
      <c r="AQ64">
        <v>66.279998779296804</v>
      </c>
      <c r="AR64">
        <v>64.5</v>
      </c>
      <c r="AS64">
        <v>66.190002441406193</v>
      </c>
      <c r="AT64">
        <v>62.300548553466797</v>
      </c>
      <c r="AU64">
        <v>22010600</v>
      </c>
      <c r="AV64">
        <v>0.1</v>
      </c>
      <c r="AW64">
        <v>9.6095928351649304E-3</v>
      </c>
      <c r="AX64">
        <v>8.6091371426117499E-3</v>
      </c>
      <c r="AY64">
        <v>65.469000244140602</v>
      </c>
      <c r="AZ64">
        <v>0.81300002336501997</v>
      </c>
      <c r="BA64">
        <v>0.81499999761581399</v>
      </c>
      <c r="BB64">
        <v>0.76999998092651301</v>
      </c>
      <c r="BC64">
        <v>0.78500002622604304</v>
      </c>
      <c r="BD64">
        <v>0.78500002622604304</v>
      </c>
      <c r="BE64">
        <v>0</v>
      </c>
      <c r="BF64">
        <v>0.5</v>
      </c>
      <c r="BG64">
        <v>-2.84653479041111E-2</v>
      </c>
      <c r="BH64">
        <v>6.6418680710670294E-2</v>
      </c>
      <c r="BI64">
        <v>0.79350000619888295</v>
      </c>
      <c r="BJ64">
        <f t="shared" si="0"/>
        <v>-2.0468527933226845E-3</v>
      </c>
    </row>
    <row r="65" spans="1:62">
      <c r="A65" s="2">
        <v>44680</v>
      </c>
      <c r="B65">
        <v>161.83999633789</v>
      </c>
      <c r="C65">
        <v>166.19999694824199</v>
      </c>
      <c r="D65">
        <v>157.25</v>
      </c>
      <c r="E65">
        <v>157.64999389648401</v>
      </c>
      <c r="F65">
        <v>155.86875915527301</v>
      </c>
      <c r="G65">
        <v>131747600</v>
      </c>
      <c r="H65">
        <v>0.1</v>
      </c>
      <c r="I65">
        <v>-3.6604775821961803E-2</v>
      </c>
      <c r="J65">
        <v>2.14013085982292E-2</v>
      </c>
      <c r="K65">
        <v>162.54499969482401</v>
      </c>
      <c r="L65">
        <v>116.734497070312</v>
      </c>
      <c r="M65">
        <v>117.919998168945</v>
      </c>
      <c r="N65">
        <v>113.814498901367</v>
      </c>
      <c r="O65">
        <v>114.109497070312</v>
      </c>
      <c r="P65">
        <v>114.109497070312</v>
      </c>
      <c r="Q65">
        <v>42676000</v>
      </c>
      <c r="R65">
        <v>0.1</v>
      </c>
      <c r="S65">
        <v>-3.72334539707515E-2</v>
      </c>
      <c r="T65">
        <v>2.4505337744039599E-2</v>
      </c>
      <c r="U65">
        <v>121.882598876953</v>
      </c>
      <c r="V65">
        <v>288.60998535156199</v>
      </c>
      <c r="W65">
        <v>289.88000488281199</v>
      </c>
      <c r="X65">
        <v>276.5</v>
      </c>
      <c r="Y65">
        <v>277.51998901367102</v>
      </c>
      <c r="Z65">
        <v>272.586669921875</v>
      </c>
      <c r="AA65">
        <v>37073900</v>
      </c>
      <c r="AB65">
        <v>0.1</v>
      </c>
      <c r="AC65">
        <v>-4.1812021078549699E-2</v>
      </c>
      <c r="AD65">
        <v>2.5390671501021301E-2</v>
      </c>
      <c r="AE65">
        <v>280.832995605468</v>
      </c>
      <c r="AF65">
        <v>182.5</v>
      </c>
      <c r="AG65">
        <v>182.55000305175699</v>
      </c>
      <c r="AH65">
        <v>180.19999694824199</v>
      </c>
      <c r="AI65">
        <v>180.46000671386699</v>
      </c>
      <c r="AJ65">
        <v>170.46253967285099</v>
      </c>
      <c r="AK65">
        <v>8463100</v>
      </c>
      <c r="AL65">
        <v>0.1</v>
      </c>
      <c r="AM65">
        <v>-1.6352337785961901E-2</v>
      </c>
      <c r="AN65">
        <v>1.3401112816280999E-2</v>
      </c>
      <c r="AO65">
        <v>182.62400054931601</v>
      </c>
      <c r="AP65">
        <v>65.870002746582003</v>
      </c>
      <c r="AQ65">
        <v>66.029998779296804</v>
      </c>
      <c r="AR65">
        <v>64.489997863769503</v>
      </c>
      <c r="AS65">
        <v>64.610000610351506</v>
      </c>
      <c r="AT65">
        <v>60.813396453857401</v>
      </c>
      <c r="AU65">
        <v>20137100</v>
      </c>
      <c r="AV65">
        <v>0.1</v>
      </c>
      <c r="AW65">
        <v>-2.3870702111748101E-2</v>
      </c>
      <c r="AX65">
        <v>1.0448821594320101E-2</v>
      </c>
      <c r="AY65">
        <v>65.428000640869101</v>
      </c>
      <c r="AZ65">
        <v>0.80000001192092896</v>
      </c>
      <c r="BA65">
        <v>0.82300001382827703</v>
      </c>
      <c r="BB65">
        <v>0.79799997806548995</v>
      </c>
      <c r="BC65">
        <v>0.808000028133392</v>
      </c>
      <c r="BD65">
        <v>0.808000028133392</v>
      </c>
      <c r="BE65">
        <v>0</v>
      </c>
      <c r="BF65">
        <v>0.5</v>
      </c>
      <c r="BG65">
        <v>2.92993645082066E-2</v>
      </c>
      <c r="BH65">
        <v>6.3470273992336304E-2</v>
      </c>
      <c r="BI65">
        <v>0.79950000643730101</v>
      </c>
      <c r="BJ65">
        <f t="shared" si="0"/>
        <v>-9.3764682279400165E-4</v>
      </c>
    </row>
    <row r="66" spans="1:62">
      <c r="A66" s="2">
        <v>44683</v>
      </c>
      <c r="B66">
        <v>156.71000671386699</v>
      </c>
      <c r="C66">
        <v>158.22999572753901</v>
      </c>
      <c r="D66">
        <v>153.27000427246</v>
      </c>
      <c r="E66">
        <v>157.96000671386699</v>
      </c>
      <c r="F66">
        <v>156.17526245117099</v>
      </c>
      <c r="G66">
        <v>123055300</v>
      </c>
      <c r="H66">
        <v>0.1</v>
      </c>
      <c r="I66">
        <v>1.9664626031408098E-3</v>
      </c>
      <c r="J66">
        <v>2.1445756062619399E-2</v>
      </c>
      <c r="K66">
        <v>161.83399963378901</v>
      </c>
      <c r="L66">
        <v>113.40499877929599</v>
      </c>
      <c r="M66">
        <v>116.74549865722599</v>
      </c>
      <c r="N66">
        <v>112.59999847412099</v>
      </c>
      <c r="O66">
        <v>116.583000183105</v>
      </c>
      <c r="P66">
        <v>116.583000183105</v>
      </c>
      <c r="Q66">
        <v>35534000</v>
      </c>
      <c r="R66">
        <v>0.1</v>
      </c>
      <c r="S66">
        <v>2.1676575362248901E-2</v>
      </c>
      <c r="T66">
        <v>2.5209360764444699E-2</v>
      </c>
      <c r="U66">
        <v>120.773249053955</v>
      </c>
      <c r="V66">
        <v>277.70999145507801</v>
      </c>
      <c r="W66">
        <v>284.94000244140602</v>
      </c>
      <c r="X66">
        <v>276.22000122070301</v>
      </c>
      <c r="Y66">
        <v>284.47000122070301</v>
      </c>
      <c r="Z66">
        <v>279.41314697265602</v>
      </c>
      <c r="AA66">
        <v>35151100</v>
      </c>
      <c r="AB66">
        <v>0.1</v>
      </c>
      <c r="AC66">
        <v>2.5043285104370899E-2</v>
      </c>
      <c r="AD66">
        <v>2.6209784023208501E-2</v>
      </c>
      <c r="AE66">
        <v>281.22799682617102</v>
      </c>
      <c r="AF66">
        <v>180.47000122070301</v>
      </c>
      <c r="AG66">
        <v>181.41000366210901</v>
      </c>
      <c r="AH66">
        <v>177.02999877929599</v>
      </c>
      <c r="AI66">
        <v>178.63999938964801</v>
      </c>
      <c r="AJ66">
        <v>168.74336242675699</v>
      </c>
      <c r="AK66">
        <v>7145400</v>
      </c>
      <c r="AL66">
        <v>0.1</v>
      </c>
      <c r="AM66">
        <v>-1.0085377682072801E-2</v>
      </c>
      <c r="AN66">
        <v>1.35786181330626E-2</v>
      </c>
      <c r="AO66">
        <v>182.72200012207</v>
      </c>
      <c r="AP66">
        <v>65.279998779296804</v>
      </c>
      <c r="AQ66">
        <v>65.309997558593693</v>
      </c>
      <c r="AR66">
        <v>62.580001831054602</v>
      </c>
      <c r="AS66">
        <v>63.439998626708899</v>
      </c>
      <c r="AT66">
        <v>59.712142944335902</v>
      </c>
      <c r="AU66">
        <v>24970300</v>
      </c>
      <c r="AV66">
        <v>0.1</v>
      </c>
      <c r="AW66">
        <v>-1.8108682442190299E-2</v>
      </c>
      <c r="AX66">
        <v>1.09778898747612E-2</v>
      </c>
      <c r="AY66">
        <v>65.328000259399403</v>
      </c>
      <c r="AZ66">
        <v>0.79500001668929998</v>
      </c>
      <c r="BA66">
        <v>0.80500000715255704</v>
      </c>
      <c r="BB66">
        <v>0.75999999046325595</v>
      </c>
      <c r="BC66">
        <v>0.76499998569488503</v>
      </c>
      <c r="BD66">
        <v>0.76499998569488503</v>
      </c>
      <c r="BE66">
        <v>0</v>
      </c>
      <c r="BF66">
        <v>0.5</v>
      </c>
      <c r="BG66">
        <v>-5.3217872452113603E-2</v>
      </c>
      <c r="BH66">
        <v>6.5914589382051705E-2</v>
      </c>
      <c r="BI66">
        <v>0.80050000548362699</v>
      </c>
      <c r="BJ66">
        <f t="shared" si="0"/>
        <v>-2.4559709931507051E-2</v>
      </c>
    </row>
    <row r="67" spans="1:62">
      <c r="A67" s="2">
        <v>44684</v>
      </c>
      <c r="B67">
        <v>158.14999389648401</v>
      </c>
      <c r="C67">
        <v>160.71000671386699</v>
      </c>
      <c r="D67">
        <v>156.32000732421801</v>
      </c>
      <c r="E67">
        <v>159.47999572753901</v>
      </c>
      <c r="F67">
        <v>157.67807006835901</v>
      </c>
      <c r="G67">
        <v>88966500</v>
      </c>
      <c r="H67">
        <v>0.1</v>
      </c>
      <c r="I67">
        <v>9.6226193281012604E-3</v>
      </c>
      <c r="J67">
        <v>2.06827018388549E-2</v>
      </c>
      <c r="K67">
        <v>161.04199981689399</v>
      </c>
      <c r="L67">
        <v>116.43049621582</v>
      </c>
      <c r="M67">
        <v>118.442001342773</v>
      </c>
      <c r="N67">
        <v>116.03450012207</v>
      </c>
      <c r="O67">
        <v>117.33399963378901</v>
      </c>
      <c r="P67">
        <v>117.33399963378901</v>
      </c>
      <c r="Q67">
        <v>24968000</v>
      </c>
      <c r="R67">
        <v>0.1</v>
      </c>
      <c r="S67">
        <v>6.4417577991995297E-3</v>
      </c>
      <c r="T67">
        <v>2.45583735322265E-2</v>
      </c>
      <c r="U67">
        <v>119.505748748779</v>
      </c>
      <c r="V67">
        <v>283.95999145507801</v>
      </c>
      <c r="W67">
        <v>284.13000488281199</v>
      </c>
      <c r="X67">
        <v>280.14999389648398</v>
      </c>
      <c r="Y67">
        <v>281.77999877929602</v>
      </c>
      <c r="Z67">
        <v>276.77093505859301</v>
      </c>
      <c r="AA67">
        <v>25978600</v>
      </c>
      <c r="AB67">
        <v>0.1</v>
      </c>
      <c r="AC67">
        <v>-9.45619021289789E-3</v>
      </c>
      <c r="AD67">
        <v>2.5721565702718999E-2</v>
      </c>
      <c r="AE67">
        <v>280.87599792480398</v>
      </c>
      <c r="AF67">
        <v>178.80000305175699</v>
      </c>
      <c r="AG67">
        <v>180.63000488281199</v>
      </c>
      <c r="AH67">
        <v>177.67999267578099</v>
      </c>
      <c r="AI67">
        <v>178.28999328613199</v>
      </c>
      <c r="AJ67">
        <v>168.41276550292901</v>
      </c>
      <c r="AK67">
        <v>5898700</v>
      </c>
      <c r="AL67">
        <v>0.1</v>
      </c>
      <c r="AM67">
        <v>-1.9592818221645298E-3</v>
      </c>
      <c r="AN67">
        <v>1.3392119164371399E-2</v>
      </c>
      <c r="AO67">
        <v>182.242999267578</v>
      </c>
      <c r="AP67">
        <v>63.720001220703097</v>
      </c>
      <c r="AQ67">
        <v>63.939998626708899</v>
      </c>
      <c r="AR67">
        <v>62.669998168945298</v>
      </c>
      <c r="AS67">
        <v>63.080001831054602</v>
      </c>
      <c r="AT67">
        <v>59.373298645019503</v>
      </c>
      <c r="AU67">
        <v>21686300</v>
      </c>
      <c r="AV67">
        <v>0.1</v>
      </c>
      <c r="AW67">
        <v>-5.6746028286125396E-3</v>
      </c>
      <c r="AX67">
        <v>1.0990047477437899E-2</v>
      </c>
      <c r="AY67">
        <v>65.129000473022401</v>
      </c>
      <c r="AZ67">
        <v>0.89300000667571999</v>
      </c>
      <c r="BA67">
        <v>0.90499997138976995</v>
      </c>
      <c r="BB67">
        <v>0.80000001192092896</v>
      </c>
      <c r="BC67">
        <v>0.89499998092651301</v>
      </c>
      <c r="BD67">
        <v>0.89499998092651301</v>
      </c>
      <c r="BE67">
        <v>0</v>
      </c>
      <c r="BF67">
        <v>0.5</v>
      </c>
      <c r="BG67">
        <v>0.16993463746740201</v>
      </c>
      <c r="BH67">
        <v>7.2844445751526404E-2</v>
      </c>
      <c r="BI67">
        <v>0.80670000314712498</v>
      </c>
      <c r="BJ67">
        <f t="shared" si="0"/>
        <v>8.4864748960063602E-2</v>
      </c>
    </row>
    <row r="68" spans="1:62">
      <c r="A68" s="2">
        <v>44685</v>
      </c>
      <c r="B68">
        <v>159.669998168945</v>
      </c>
      <c r="C68">
        <v>166.47999572753901</v>
      </c>
      <c r="D68">
        <v>159.259994506835</v>
      </c>
      <c r="E68">
        <v>166.02000427246</v>
      </c>
      <c r="F68">
        <v>164.14422607421801</v>
      </c>
      <c r="G68">
        <v>108256500</v>
      </c>
      <c r="H68">
        <v>0.1</v>
      </c>
      <c r="I68">
        <v>4.10083315784322E-2</v>
      </c>
      <c r="J68">
        <v>2.2847382342151602E-2</v>
      </c>
      <c r="K68">
        <v>160.921000671386</v>
      </c>
      <c r="L68">
        <v>117.03150177001901</v>
      </c>
      <c r="M68">
        <v>122.85449981689401</v>
      </c>
      <c r="N68">
        <v>115.115997314453</v>
      </c>
      <c r="O68">
        <v>122.26100158691401</v>
      </c>
      <c r="P68">
        <v>122.26100158691401</v>
      </c>
      <c r="Q68">
        <v>49916000</v>
      </c>
      <c r="R68">
        <v>0.1</v>
      </c>
      <c r="S68">
        <v>4.19912554630597E-2</v>
      </c>
      <c r="T68">
        <v>2.70406329428018E-2</v>
      </c>
      <c r="U68">
        <v>118.92784957885701</v>
      </c>
      <c r="V68">
        <v>282.58999633789</v>
      </c>
      <c r="W68">
        <v>290.88000488281199</v>
      </c>
      <c r="X68">
        <v>276.73001098632801</v>
      </c>
      <c r="Y68">
        <v>289.98001098632801</v>
      </c>
      <c r="Z68">
        <v>284.82516479492102</v>
      </c>
      <c r="AA68">
        <v>33599300</v>
      </c>
      <c r="AB68">
        <v>0.1</v>
      </c>
      <c r="AC68">
        <v>2.9100760318527302E-2</v>
      </c>
      <c r="AD68">
        <v>2.67551219102229E-2</v>
      </c>
      <c r="AE68">
        <v>281.23800048828099</v>
      </c>
      <c r="AF68">
        <v>178.14999389648401</v>
      </c>
      <c r="AG68">
        <v>180.5</v>
      </c>
      <c r="AH68">
        <v>177.14999389648401</v>
      </c>
      <c r="AI68">
        <v>180.19999694824199</v>
      </c>
      <c r="AJ68">
        <v>170.21693420410099</v>
      </c>
      <c r="AK68">
        <v>5923000</v>
      </c>
      <c r="AL68">
        <v>0.1</v>
      </c>
      <c r="AM68">
        <v>1.07129044480025E-2</v>
      </c>
      <c r="AN68">
        <v>1.3523226099060299E-2</v>
      </c>
      <c r="AO68">
        <v>181.87399902343699</v>
      </c>
      <c r="AP68">
        <v>63</v>
      </c>
      <c r="AQ68">
        <v>65.120002746582003</v>
      </c>
      <c r="AR68">
        <v>62.939998626708899</v>
      </c>
      <c r="AS68">
        <v>65.029998779296804</v>
      </c>
      <c r="AT68">
        <v>61.208709716796797</v>
      </c>
      <c r="AU68">
        <v>19780200</v>
      </c>
      <c r="AV68">
        <v>0.1</v>
      </c>
      <c r="AW68">
        <v>3.0913076912470801E-2</v>
      </c>
      <c r="AX68">
        <v>1.29099363939128E-2</v>
      </c>
      <c r="AY68">
        <v>65.0360004425048</v>
      </c>
      <c r="AZ68">
        <v>0.90499997138976995</v>
      </c>
      <c r="BA68">
        <v>0.93000000715255704</v>
      </c>
      <c r="BB68">
        <v>0.80000001192092896</v>
      </c>
      <c r="BC68">
        <v>0.83300000429153398</v>
      </c>
      <c r="BD68">
        <v>0.83300000429153398</v>
      </c>
      <c r="BE68">
        <v>0</v>
      </c>
      <c r="BF68">
        <v>0.5</v>
      </c>
      <c r="BG68">
        <v>-6.9273718386894403E-2</v>
      </c>
      <c r="BH68">
        <v>5.61250552920197E-2</v>
      </c>
      <c r="BI68">
        <v>0.81050000190734806</v>
      </c>
      <c r="BJ68">
        <f t="shared" si="0"/>
        <v>-1.9264226321397949E-2</v>
      </c>
    </row>
    <row r="69" spans="1:62">
      <c r="A69" s="2">
        <v>44686</v>
      </c>
      <c r="B69">
        <v>163.850006103515</v>
      </c>
      <c r="C69">
        <v>164.08000183105401</v>
      </c>
      <c r="D69">
        <v>154.94999694824199</v>
      </c>
      <c r="E69">
        <v>156.77000427246</v>
      </c>
      <c r="F69">
        <v>154.99871826171801</v>
      </c>
      <c r="G69">
        <v>130525300</v>
      </c>
      <c r="H69">
        <v>0.1</v>
      </c>
      <c r="I69">
        <v>-5.5716177339807202E-2</v>
      </c>
      <c r="J69">
        <v>2.5581251116165899E-2</v>
      </c>
      <c r="K69">
        <v>159.956001281738</v>
      </c>
      <c r="L69">
        <v>120.20400238037099</v>
      </c>
      <c r="M69">
        <v>121.039001464843</v>
      </c>
      <c r="N69">
        <v>115.005500793457</v>
      </c>
      <c r="O69">
        <v>116.505500793457</v>
      </c>
      <c r="P69">
        <v>116.505500793457</v>
      </c>
      <c r="Q69">
        <v>45840000</v>
      </c>
      <c r="R69">
        <v>0.1</v>
      </c>
      <c r="S69">
        <v>-4.7075524646062197E-2</v>
      </c>
      <c r="T69">
        <v>2.8118918043172399E-2</v>
      </c>
      <c r="U69">
        <v>118.096949768066</v>
      </c>
      <c r="V69">
        <v>285.54000854492102</v>
      </c>
      <c r="W69">
        <v>286.350006103515</v>
      </c>
      <c r="X69">
        <v>274.33999633789</v>
      </c>
      <c r="Y69">
        <v>277.350006103515</v>
      </c>
      <c r="Z69">
        <v>272.41970825195301</v>
      </c>
      <c r="AA69">
        <v>43260400</v>
      </c>
      <c r="AB69">
        <v>0.1</v>
      </c>
      <c r="AC69">
        <v>-4.3554743100578698E-2</v>
      </c>
      <c r="AD69">
        <v>2.72531691796782E-2</v>
      </c>
      <c r="AE69">
        <v>280.89200134277303</v>
      </c>
      <c r="AF69">
        <v>179.419998168945</v>
      </c>
      <c r="AG69">
        <v>179.71000671386699</v>
      </c>
      <c r="AH69">
        <v>175.27000427246</v>
      </c>
      <c r="AI69">
        <v>176.759994506835</v>
      </c>
      <c r="AJ69">
        <v>166.967514038085</v>
      </c>
      <c r="AK69">
        <v>7089200</v>
      </c>
      <c r="AL69">
        <v>0.1</v>
      </c>
      <c r="AM69">
        <v>-1.9089913982597399E-2</v>
      </c>
      <c r="AN69">
        <v>1.2842884333498301E-2</v>
      </c>
      <c r="AO69">
        <v>181.21399841308499</v>
      </c>
      <c r="AP69">
        <v>64.690002441406193</v>
      </c>
      <c r="AQ69">
        <v>65.029998779296804</v>
      </c>
      <c r="AR69">
        <v>64.010002136230398</v>
      </c>
      <c r="AS69">
        <v>64.510002136230398</v>
      </c>
      <c r="AT69">
        <v>60.719268798828097</v>
      </c>
      <c r="AU69">
        <v>20155200</v>
      </c>
      <c r="AV69">
        <v>0.1</v>
      </c>
      <c r="AW69">
        <v>-7.9962579244573506E-3</v>
      </c>
      <c r="AX69">
        <v>1.2953572395854601E-2</v>
      </c>
      <c r="AY69">
        <v>64.866000747680602</v>
      </c>
      <c r="AZ69">
        <v>0.80299997329711903</v>
      </c>
      <c r="BA69">
        <v>0.84500002861022905</v>
      </c>
      <c r="BB69">
        <v>0.80299997329711903</v>
      </c>
      <c r="BC69">
        <v>0.80299997329711903</v>
      </c>
      <c r="BD69">
        <v>0.80299997329711903</v>
      </c>
      <c r="BE69">
        <v>0</v>
      </c>
      <c r="BF69">
        <v>0.5</v>
      </c>
      <c r="BG69">
        <v>-3.6014442784943701E-2</v>
      </c>
      <c r="BH69">
        <v>5.7015788516973698E-2</v>
      </c>
      <c r="BI69">
        <v>0.81079999804496705</v>
      </c>
      <c r="BJ69">
        <f t="shared" ref="BJ69:BJ132" si="1">BG69*BF69+AW69*AV69+AM69*AL69+AC69*AB69+S69*R69+I69*H69</f>
        <v>-3.5350483091822135E-2</v>
      </c>
    </row>
    <row r="70" spans="1:62">
      <c r="A70" s="2">
        <v>44687</v>
      </c>
      <c r="B70">
        <v>156.009994506835</v>
      </c>
      <c r="C70">
        <v>159.44000244140599</v>
      </c>
      <c r="D70">
        <v>154.17999267578099</v>
      </c>
      <c r="E70">
        <v>157.27999877929599</v>
      </c>
      <c r="F70">
        <v>155.73143005371</v>
      </c>
      <c r="G70">
        <v>116124600</v>
      </c>
      <c r="H70">
        <v>0.1</v>
      </c>
      <c r="I70">
        <v>3.2531383104996698E-3</v>
      </c>
      <c r="J70">
        <v>2.56013837960248E-2</v>
      </c>
      <c r="K70">
        <v>159.50500183105399</v>
      </c>
      <c r="L70">
        <v>115.18450164794901</v>
      </c>
      <c r="M70">
        <v>117.57150268554599</v>
      </c>
      <c r="N70">
        <v>114.015502929687</v>
      </c>
      <c r="O70">
        <v>115.74649810791</v>
      </c>
      <c r="P70">
        <v>115.74649810791</v>
      </c>
      <c r="Q70">
        <v>39710000</v>
      </c>
      <c r="R70">
        <v>0.1</v>
      </c>
      <c r="S70">
        <v>-6.5147369040749999E-3</v>
      </c>
      <c r="T70">
        <v>2.8112929386510801E-2</v>
      </c>
      <c r="U70">
        <v>117.708049774169</v>
      </c>
      <c r="V70">
        <v>274.80999755859301</v>
      </c>
      <c r="W70">
        <v>279.25</v>
      </c>
      <c r="X70">
        <v>271.26998901367102</v>
      </c>
      <c r="Y70">
        <v>274.73001098632801</v>
      </c>
      <c r="Z70">
        <v>269.84631347656199</v>
      </c>
      <c r="AA70">
        <v>37780300</v>
      </c>
      <c r="AB70">
        <v>0.1</v>
      </c>
      <c r="AC70">
        <v>-9.4465298703099096E-3</v>
      </c>
      <c r="AD70">
        <v>2.7184256815233801E-2</v>
      </c>
      <c r="AE70">
        <v>280.96200256347601</v>
      </c>
      <c r="AF70">
        <v>175.13999938964801</v>
      </c>
      <c r="AG70">
        <v>176.86999511718699</v>
      </c>
      <c r="AH70">
        <v>174.69000244140599</v>
      </c>
      <c r="AI70">
        <v>176.36999511718699</v>
      </c>
      <c r="AJ70">
        <v>166.59912109375</v>
      </c>
      <c r="AK70">
        <v>6434000</v>
      </c>
      <c r="AL70">
        <v>0.1</v>
      </c>
      <c r="AM70">
        <v>-2.2063781498553501E-3</v>
      </c>
      <c r="AN70">
        <v>1.2841421836137901E-2</v>
      </c>
      <c r="AO70">
        <v>180.69699859619101</v>
      </c>
      <c r="AP70">
        <v>64.199996948242102</v>
      </c>
      <c r="AQ70">
        <v>65.309997558593693</v>
      </c>
      <c r="AR70">
        <v>64.069999694824205</v>
      </c>
      <c r="AS70">
        <v>64.739997863769503</v>
      </c>
      <c r="AT70">
        <v>60.935752868652301</v>
      </c>
      <c r="AU70">
        <v>18984000</v>
      </c>
      <c r="AV70">
        <v>0.1</v>
      </c>
      <c r="AW70">
        <v>3.5652723596779601E-3</v>
      </c>
      <c r="AX70">
        <v>1.29288304926927E-2</v>
      </c>
      <c r="AY70">
        <v>64.815000534057603</v>
      </c>
      <c r="AZ70">
        <v>0.77999997138976995</v>
      </c>
      <c r="BA70">
        <v>0.81499999761581399</v>
      </c>
      <c r="BB70">
        <v>0.77499997615814198</v>
      </c>
      <c r="BC70">
        <v>0.81499999761581399</v>
      </c>
      <c r="BD70">
        <v>0.81499999761581399</v>
      </c>
      <c r="BE70">
        <v>0</v>
      </c>
      <c r="BF70">
        <v>0.5</v>
      </c>
      <c r="BG70">
        <v>1.4943990931186301E-2</v>
      </c>
      <c r="BH70">
        <v>5.6901151763824799E-2</v>
      </c>
      <c r="BI70">
        <v>0.81430000066757202</v>
      </c>
      <c r="BJ70">
        <f t="shared" si="1"/>
        <v>6.3370720401868877E-3</v>
      </c>
    </row>
    <row r="71" spans="1:62">
      <c r="A71" s="2">
        <v>44690</v>
      </c>
      <c r="B71">
        <v>154.92999267578099</v>
      </c>
      <c r="C71">
        <v>155.83000183105401</v>
      </c>
      <c r="D71">
        <v>151.49000549316401</v>
      </c>
      <c r="E71">
        <v>152.05999755859301</v>
      </c>
      <c r="F71">
        <v>150.56282043457</v>
      </c>
      <c r="G71">
        <v>131577900</v>
      </c>
      <c r="H71">
        <v>0.1</v>
      </c>
      <c r="I71">
        <v>-3.3189224702551499E-2</v>
      </c>
      <c r="J71">
        <v>2.6369722462076001E-2</v>
      </c>
      <c r="K71">
        <v>158.423001098632</v>
      </c>
      <c r="L71">
        <v>113.25</v>
      </c>
      <c r="M71">
        <v>115.077003479003</v>
      </c>
      <c r="N71">
        <v>112.00050354003901</v>
      </c>
      <c r="O71">
        <v>112.51100158691401</v>
      </c>
      <c r="P71">
        <v>112.51100158691401</v>
      </c>
      <c r="Q71">
        <v>40802000</v>
      </c>
      <c r="R71">
        <v>0.1</v>
      </c>
      <c r="S71">
        <v>-2.7953299442196902E-2</v>
      </c>
      <c r="T71">
        <v>2.8370996243071302E-2</v>
      </c>
      <c r="U71">
        <v>116.65175018310499</v>
      </c>
      <c r="V71">
        <v>270.05999755859301</v>
      </c>
      <c r="W71">
        <v>272.35998535156199</v>
      </c>
      <c r="X71">
        <v>263.32000732421801</v>
      </c>
      <c r="Y71">
        <v>264.579986572265</v>
      </c>
      <c r="Z71">
        <v>259.876708984375</v>
      </c>
      <c r="AA71">
        <v>47726000</v>
      </c>
      <c r="AB71">
        <v>0.1</v>
      </c>
      <c r="AC71">
        <v>-3.6945451927957E-2</v>
      </c>
      <c r="AD71">
        <v>2.8075954644663999E-2</v>
      </c>
      <c r="AE71">
        <v>279.34800109863198</v>
      </c>
      <c r="AF71">
        <v>175.44999694824199</v>
      </c>
      <c r="AG71">
        <v>178.55999755859301</v>
      </c>
      <c r="AH71">
        <v>174.58999633789</v>
      </c>
      <c r="AI71">
        <v>177.33000183105401</v>
      </c>
      <c r="AJ71">
        <v>167.50596618652301</v>
      </c>
      <c r="AK71">
        <v>7855200</v>
      </c>
      <c r="AL71">
        <v>0.1</v>
      </c>
      <c r="AM71">
        <v>5.4431407861032996E-3</v>
      </c>
      <c r="AN71">
        <v>1.2912910799142601E-2</v>
      </c>
      <c r="AO71">
        <v>179.82899932861301</v>
      </c>
      <c r="AP71">
        <v>64.470001220703097</v>
      </c>
      <c r="AQ71">
        <v>65.360000610351506</v>
      </c>
      <c r="AR71">
        <v>64.040000915527301</v>
      </c>
      <c r="AS71">
        <v>64.610000610351506</v>
      </c>
      <c r="AT71">
        <v>60.813396453857401</v>
      </c>
      <c r="AU71">
        <v>20055300</v>
      </c>
      <c r="AV71">
        <v>0.1</v>
      </c>
      <c r="AW71">
        <v>-2.0079897699644099E-3</v>
      </c>
      <c r="AX71">
        <v>1.28896069743382E-2</v>
      </c>
      <c r="AY71">
        <v>64.682000350952094</v>
      </c>
      <c r="AZ71">
        <v>0.808000028133392</v>
      </c>
      <c r="BA71">
        <v>0.81499999761581399</v>
      </c>
      <c r="BB71">
        <v>0.77300000190734797</v>
      </c>
      <c r="BC71">
        <v>0.80000001192092896</v>
      </c>
      <c r="BD71">
        <v>0.80000001192092896</v>
      </c>
      <c r="BE71">
        <v>0</v>
      </c>
      <c r="BF71">
        <v>0.5</v>
      </c>
      <c r="BG71">
        <v>-1.8404890477013401E-2</v>
      </c>
      <c r="BH71">
        <v>5.7307627555925798E-2</v>
      </c>
      <c r="BI71">
        <v>0.81450000405311496</v>
      </c>
      <c r="BJ71">
        <f t="shared" si="1"/>
        <v>-1.8667727744163351E-2</v>
      </c>
    </row>
    <row r="72" spans="1:62">
      <c r="A72" s="2">
        <v>44691</v>
      </c>
      <c r="B72">
        <v>155.52000427246</v>
      </c>
      <c r="C72">
        <v>156.74000549316401</v>
      </c>
      <c r="D72">
        <v>152.92999267578099</v>
      </c>
      <c r="E72">
        <v>154.509994506835</v>
      </c>
      <c r="F72">
        <v>152.988677978515</v>
      </c>
      <c r="G72">
        <v>115366700</v>
      </c>
      <c r="H72">
        <v>0.1</v>
      </c>
      <c r="I72">
        <v>1.6112041217797E-2</v>
      </c>
      <c r="J72">
        <v>2.63291613566532E-2</v>
      </c>
      <c r="K72">
        <v>158.19400024414</v>
      </c>
      <c r="L72">
        <v>115.50749969482401</v>
      </c>
      <c r="M72">
        <v>116.25</v>
      </c>
      <c r="N72">
        <v>112.900497436523</v>
      </c>
      <c r="O72">
        <v>114.39499664306599</v>
      </c>
      <c r="P72">
        <v>114.39499664306599</v>
      </c>
      <c r="Q72">
        <v>39900000</v>
      </c>
      <c r="R72">
        <v>0.1</v>
      </c>
      <c r="S72">
        <v>1.6744985197709499E-2</v>
      </c>
      <c r="T72">
        <v>2.8223787524576299E-2</v>
      </c>
      <c r="U72">
        <v>116.22624969482401</v>
      </c>
      <c r="V72">
        <v>271.69000244140602</v>
      </c>
      <c r="W72">
        <v>273.75</v>
      </c>
      <c r="X72">
        <v>265.07000732421801</v>
      </c>
      <c r="Y72">
        <v>269.5</v>
      </c>
      <c r="Z72">
        <v>264.70925903320301</v>
      </c>
      <c r="AA72">
        <v>39336400</v>
      </c>
      <c r="AB72">
        <v>0.1</v>
      </c>
      <c r="AC72">
        <v>1.8595561559568499E-2</v>
      </c>
      <c r="AD72">
        <v>2.73612809534373E-2</v>
      </c>
      <c r="AE72">
        <v>279.27600097656199</v>
      </c>
      <c r="AF72">
        <v>178.22999572753901</v>
      </c>
      <c r="AG72">
        <v>179.17999267578099</v>
      </c>
      <c r="AH72">
        <v>176.5</v>
      </c>
      <c r="AI72">
        <v>177.08999633789</v>
      </c>
      <c r="AJ72">
        <v>167.27923583984301</v>
      </c>
      <c r="AK72">
        <v>8186700</v>
      </c>
      <c r="AL72">
        <v>0.1</v>
      </c>
      <c r="AM72">
        <v>-1.3534398617596199E-3</v>
      </c>
      <c r="AN72">
        <v>1.2638647000219E-2</v>
      </c>
      <c r="AO72">
        <v>179.06999969482399</v>
      </c>
      <c r="AP72">
        <v>64.5</v>
      </c>
      <c r="AQ72">
        <v>65.319999694824205</v>
      </c>
      <c r="AR72">
        <v>63.849998474121001</v>
      </c>
      <c r="AS72">
        <v>64.010002136230398</v>
      </c>
      <c r="AT72">
        <v>60.248653411865199</v>
      </c>
      <c r="AU72">
        <v>21322200</v>
      </c>
      <c r="AV72">
        <v>0.1</v>
      </c>
      <c r="AW72">
        <v>-9.2864644552404993E-3</v>
      </c>
      <c r="AX72">
        <v>1.3080978538576701E-2</v>
      </c>
      <c r="AY72">
        <v>64.578000259399403</v>
      </c>
      <c r="AZ72">
        <v>0.87999999523162797</v>
      </c>
      <c r="BA72">
        <v>0.88499999046325595</v>
      </c>
      <c r="BB72">
        <v>0.87300002574920599</v>
      </c>
      <c r="BC72">
        <v>0.87800002098083496</v>
      </c>
      <c r="BD72">
        <v>0.87800002098083496</v>
      </c>
      <c r="BE72">
        <v>0</v>
      </c>
      <c r="BF72">
        <v>0.5</v>
      </c>
      <c r="BG72">
        <v>9.7500009872019094E-2</v>
      </c>
      <c r="BH72">
        <v>6.0519410352764202E-2</v>
      </c>
      <c r="BI72">
        <v>0.81900000572204501</v>
      </c>
      <c r="BJ72">
        <f t="shared" si="1"/>
        <v>5.2831273301817035E-2</v>
      </c>
    </row>
    <row r="73" spans="1:62">
      <c r="A73" s="2">
        <v>44692</v>
      </c>
      <c r="B73">
        <v>153.5</v>
      </c>
      <c r="C73">
        <v>155.44999694824199</v>
      </c>
      <c r="D73">
        <v>145.80999755859301</v>
      </c>
      <c r="E73">
        <v>146.5</v>
      </c>
      <c r="F73">
        <v>145.05755615234301</v>
      </c>
      <c r="G73">
        <v>142689800</v>
      </c>
      <c r="H73">
        <v>0.1</v>
      </c>
      <c r="I73">
        <v>-5.1841271060827997E-2</v>
      </c>
      <c r="J73">
        <v>2.82126138136909E-2</v>
      </c>
      <c r="K73">
        <v>157.186999511718</v>
      </c>
      <c r="L73">
        <v>113.23650360107401</v>
      </c>
      <c r="M73">
        <v>116.364501953125</v>
      </c>
      <c r="N73">
        <v>113.23650360107401</v>
      </c>
      <c r="O73">
        <v>113.602500915527</v>
      </c>
      <c r="P73">
        <v>113.602500915527</v>
      </c>
      <c r="Q73">
        <v>37534000</v>
      </c>
      <c r="R73">
        <v>0.1</v>
      </c>
      <c r="S73">
        <v>-6.9277131937142099E-3</v>
      </c>
      <c r="T73">
        <v>2.8216676125141699E-2</v>
      </c>
      <c r="U73">
        <v>116.157049560546</v>
      </c>
      <c r="V73">
        <v>265.67999267578102</v>
      </c>
      <c r="W73">
        <v>271.35998535156199</v>
      </c>
      <c r="X73">
        <v>259.29998779296801</v>
      </c>
      <c r="Y73">
        <v>260.54998779296801</v>
      </c>
      <c r="Z73">
        <v>255.91835021972599</v>
      </c>
      <c r="AA73">
        <v>48975900</v>
      </c>
      <c r="AB73">
        <v>0.1</v>
      </c>
      <c r="AC73">
        <v>-3.3209692790468398E-2</v>
      </c>
      <c r="AD73">
        <v>2.8161091047287E-2</v>
      </c>
      <c r="AE73">
        <v>277.00899963378902</v>
      </c>
      <c r="AF73">
        <v>175.96000671386699</v>
      </c>
      <c r="AG73">
        <v>178.32000732421801</v>
      </c>
      <c r="AH73">
        <v>175.88000488281199</v>
      </c>
      <c r="AI73">
        <v>176.13000488281199</v>
      </c>
      <c r="AJ73">
        <v>166.37243652343699</v>
      </c>
      <c r="AK73">
        <v>6138900</v>
      </c>
      <c r="AL73">
        <v>0.1</v>
      </c>
      <c r="AM73">
        <v>-5.4209242471632202E-3</v>
      </c>
      <c r="AN73">
        <v>1.26794396101135E-2</v>
      </c>
      <c r="AO73">
        <v>178.472999572753</v>
      </c>
      <c r="AP73">
        <v>64.330001831054602</v>
      </c>
      <c r="AQ73">
        <v>65.199996948242102</v>
      </c>
      <c r="AR73">
        <v>63.959999084472599</v>
      </c>
      <c r="AS73">
        <v>64.309997558593693</v>
      </c>
      <c r="AT73">
        <v>60.531021118163999</v>
      </c>
      <c r="AU73">
        <v>19648400</v>
      </c>
      <c r="AV73">
        <v>0.1</v>
      </c>
      <c r="AW73">
        <v>4.6866960217375403E-3</v>
      </c>
      <c r="AX73">
        <v>1.28468876073726E-2</v>
      </c>
      <c r="AY73">
        <v>64.453000259399403</v>
      </c>
      <c r="AZ73">
        <v>0.88499999046325595</v>
      </c>
      <c r="BA73">
        <v>0.89999997615814198</v>
      </c>
      <c r="BB73">
        <v>0.86500000953674305</v>
      </c>
      <c r="BC73">
        <v>0.88300001621246305</v>
      </c>
      <c r="BD73">
        <v>0.88300001621246305</v>
      </c>
      <c r="BE73">
        <v>0</v>
      </c>
      <c r="BF73">
        <v>0.5</v>
      </c>
      <c r="BG73">
        <v>5.6947552530155401E-3</v>
      </c>
      <c r="BH73">
        <v>5.8192670323338497E-2</v>
      </c>
      <c r="BI73">
        <v>0.82650000452995298</v>
      </c>
      <c r="BJ73">
        <f t="shared" si="1"/>
        <v>-6.4239129005358589E-3</v>
      </c>
    </row>
    <row r="74" spans="1:62">
      <c r="A74" s="2">
        <v>44693</v>
      </c>
      <c r="B74">
        <v>142.77000427246</v>
      </c>
      <c r="C74">
        <v>146.19999694824199</v>
      </c>
      <c r="D74">
        <v>138.80000305175699</v>
      </c>
      <c r="E74">
        <v>142.55999755859301</v>
      </c>
      <c r="F74">
        <v>141.15637207031199</v>
      </c>
      <c r="G74">
        <v>182602000</v>
      </c>
      <c r="H74">
        <v>0.1</v>
      </c>
      <c r="I74">
        <v>-2.68942146171075E-2</v>
      </c>
      <c r="J74">
        <v>2.80389248952015E-2</v>
      </c>
      <c r="K74">
        <v>155.07899932861301</v>
      </c>
      <c r="L74">
        <v>111.37750244140599</v>
      </c>
      <c r="M74">
        <v>114.294998168945</v>
      </c>
      <c r="N74">
        <v>109.824501037597</v>
      </c>
      <c r="O74">
        <v>112.84400177001901</v>
      </c>
      <c r="P74">
        <v>112.84400177001901</v>
      </c>
      <c r="Q74">
        <v>53836000</v>
      </c>
      <c r="R74">
        <v>0.1</v>
      </c>
      <c r="S74">
        <v>-6.6767821077444696E-3</v>
      </c>
      <c r="T74">
        <v>2.7714181673621701E-2</v>
      </c>
      <c r="U74">
        <v>115.58919982910101</v>
      </c>
      <c r="V74">
        <v>257.69000244140602</v>
      </c>
      <c r="W74">
        <v>259.88000488281199</v>
      </c>
      <c r="X74">
        <v>250.02000427246</v>
      </c>
      <c r="Y74">
        <v>255.350006103515</v>
      </c>
      <c r="Z74">
        <v>250.81080627441401</v>
      </c>
      <c r="AA74">
        <v>51033800</v>
      </c>
      <c r="AB74">
        <v>0.1</v>
      </c>
      <c r="AC74">
        <v>-1.9957712274333201E-2</v>
      </c>
      <c r="AD74">
        <v>2.7829247576191499E-2</v>
      </c>
      <c r="AE74">
        <v>273.58099975585901</v>
      </c>
      <c r="AF74">
        <v>176.47000122070301</v>
      </c>
      <c r="AG74">
        <v>177.94999694824199</v>
      </c>
      <c r="AH74">
        <v>174.71000671386699</v>
      </c>
      <c r="AI74">
        <v>177.86999511718699</v>
      </c>
      <c r="AJ74">
        <v>168.016021728515</v>
      </c>
      <c r="AK74">
        <v>6898600</v>
      </c>
      <c r="AL74">
        <v>0.1</v>
      </c>
      <c r="AM74">
        <v>9.8790108791100197E-3</v>
      </c>
      <c r="AN74">
        <v>1.28633617218226E-2</v>
      </c>
      <c r="AO74">
        <v>177.91399841308501</v>
      </c>
      <c r="AP74">
        <v>64.160003662109304</v>
      </c>
      <c r="AQ74">
        <v>64.529998779296804</v>
      </c>
      <c r="AR74">
        <v>63.209999084472599</v>
      </c>
      <c r="AS74">
        <v>64.510002136230398</v>
      </c>
      <c r="AT74">
        <v>60.719268798828097</v>
      </c>
      <c r="AU74">
        <v>22574700</v>
      </c>
      <c r="AV74">
        <v>0.1</v>
      </c>
      <c r="AW74">
        <v>3.1100075451642099E-3</v>
      </c>
      <c r="AX74">
        <v>1.2852697338772E-2</v>
      </c>
      <c r="AY74">
        <v>64.285000228881799</v>
      </c>
      <c r="AZ74">
        <v>0.88300001621246305</v>
      </c>
      <c r="BA74">
        <v>0.91799998283386197</v>
      </c>
      <c r="BB74">
        <v>0.86500000953674305</v>
      </c>
      <c r="BC74">
        <v>0.90499997138976995</v>
      </c>
      <c r="BD74">
        <v>0.90499997138976995</v>
      </c>
      <c r="BE74">
        <v>0</v>
      </c>
      <c r="BF74">
        <v>0.5</v>
      </c>
      <c r="BG74">
        <v>2.49150110683731E-2</v>
      </c>
      <c r="BH74">
        <v>5.8247236047384798E-2</v>
      </c>
      <c r="BI74">
        <v>0.838499999046325</v>
      </c>
      <c r="BJ74">
        <f t="shared" si="1"/>
        <v>8.4035364766954536E-3</v>
      </c>
    </row>
    <row r="75" spans="1:62">
      <c r="A75" s="2">
        <v>44694</v>
      </c>
      <c r="B75">
        <v>144.58999633789</v>
      </c>
      <c r="C75">
        <v>148.100006103515</v>
      </c>
      <c r="D75">
        <v>143.11000061035099</v>
      </c>
      <c r="E75">
        <v>147.11000061035099</v>
      </c>
      <c r="F75">
        <v>145.66159057617099</v>
      </c>
      <c r="G75">
        <v>113990900</v>
      </c>
      <c r="H75">
        <v>0.1</v>
      </c>
      <c r="I75">
        <v>3.1916408036466802E-2</v>
      </c>
      <c r="J75">
        <v>2.8944599753003501E-2</v>
      </c>
      <c r="K75">
        <v>154.02500000000001</v>
      </c>
      <c r="L75">
        <v>114.532997131347</v>
      </c>
      <c r="M75">
        <v>117.875</v>
      </c>
      <c r="N75">
        <v>113.605003356933</v>
      </c>
      <c r="O75">
        <v>116.050498962402</v>
      </c>
      <c r="P75">
        <v>116.050498962402</v>
      </c>
      <c r="Q75">
        <v>35038000</v>
      </c>
      <c r="R75">
        <v>0.1</v>
      </c>
      <c r="S75">
        <v>2.8415309117783401E-2</v>
      </c>
      <c r="T75">
        <v>2.8441674344651099E-2</v>
      </c>
      <c r="U75">
        <v>115.78330001831</v>
      </c>
      <c r="V75">
        <v>257.350006103515</v>
      </c>
      <c r="W75">
        <v>263.04000854492102</v>
      </c>
      <c r="X75">
        <v>255.350006103515</v>
      </c>
      <c r="Y75">
        <v>261.11999511718699</v>
      </c>
      <c r="Z75">
        <v>256.47821044921801</v>
      </c>
      <c r="AA75">
        <v>34925100</v>
      </c>
      <c r="AB75">
        <v>0.1</v>
      </c>
      <c r="AC75">
        <v>2.2596392699253599E-2</v>
      </c>
      <c r="AD75">
        <v>2.8023813806119499E-2</v>
      </c>
      <c r="AE75">
        <v>271.94100036621001</v>
      </c>
      <c r="AF75">
        <v>178.69999694824199</v>
      </c>
      <c r="AG75">
        <v>178.88999938964801</v>
      </c>
      <c r="AH75">
        <v>175.80000305175699</v>
      </c>
      <c r="AI75">
        <v>176.850006103515</v>
      </c>
      <c r="AJ75">
        <v>167.05253601074199</v>
      </c>
      <c r="AK75">
        <v>7732200</v>
      </c>
      <c r="AL75">
        <v>0.1</v>
      </c>
      <c r="AM75">
        <v>-5.7344636064101603E-3</v>
      </c>
      <c r="AN75">
        <v>1.28897903029471E-2</v>
      </c>
      <c r="AO75">
        <v>177.55299835205</v>
      </c>
      <c r="AP75">
        <v>64.809997558593693</v>
      </c>
      <c r="AQ75">
        <v>65.800003051757798</v>
      </c>
      <c r="AR75">
        <v>64.120002746582003</v>
      </c>
      <c r="AS75">
        <v>65.720001220703097</v>
      </c>
      <c r="AT75">
        <v>61.858161926269503</v>
      </c>
      <c r="AU75">
        <v>16167000</v>
      </c>
      <c r="AV75">
        <v>0.1</v>
      </c>
      <c r="AW75">
        <v>1.8756767081132799E-2</v>
      </c>
      <c r="AX75">
        <v>1.3500141467461001E-2</v>
      </c>
      <c r="AY75">
        <v>64.396000289916998</v>
      </c>
      <c r="AZ75">
        <v>0.912999987602233</v>
      </c>
      <c r="BA75">
        <v>0.96299999952316195</v>
      </c>
      <c r="BB75">
        <v>0.912999987602233</v>
      </c>
      <c r="BC75">
        <v>0.94300001859664895</v>
      </c>
      <c r="BD75">
        <v>0.94300001859664895</v>
      </c>
      <c r="BE75">
        <v>0</v>
      </c>
      <c r="BF75">
        <v>0.5</v>
      </c>
      <c r="BG75">
        <v>4.1989003765959799E-2</v>
      </c>
      <c r="BH75">
        <v>5.8639512283039201E-2</v>
      </c>
      <c r="BI75">
        <v>0.85199999809265103</v>
      </c>
      <c r="BJ75">
        <f t="shared" si="1"/>
        <v>3.0589543215802546E-2</v>
      </c>
    </row>
    <row r="76" spans="1:62">
      <c r="A76" s="2">
        <v>44697</v>
      </c>
      <c r="B76">
        <v>145.55000305175699</v>
      </c>
      <c r="C76">
        <v>147.52000427246</v>
      </c>
      <c r="D76">
        <v>144.17999267578099</v>
      </c>
      <c r="E76">
        <v>145.53999328613199</v>
      </c>
      <c r="F76">
        <v>144.10702514648401</v>
      </c>
      <c r="G76">
        <v>86643800</v>
      </c>
      <c r="H76">
        <v>0.1</v>
      </c>
      <c r="I76">
        <v>-1.06723357875391E-2</v>
      </c>
      <c r="J76">
        <v>2.8950711296582401E-2</v>
      </c>
      <c r="K76">
        <v>152.78299865722599</v>
      </c>
      <c r="L76">
        <v>114.95549774169901</v>
      </c>
      <c r="M76">
        <v>116.169998168945</v>
      </c>
      <c r="N76">
        <v>113.889503479003</v>
      </c>
      <c r="O76">
        <v>114.44499969482401</v>
      </c>
      <c r="P76">
        <v>114.44499969482401</v>
      </c>
      <c r="Q76">
        <v>25990000</v>
      </c>
      <c r="R76">
        <v>0.1</v>
      </c>
      <c r="S76">
        <v>-1.3834488278230099E-2</v>
      </c>
      <c r="T76">
        <v>2.8388172592246699E-2</v>
      </c>
      <c r="U76">
        <v>115.569499969482</v>
      </c>
      <c r="V76">
        <v>259.95999145507801</v>
      </c>
      <c r="W76">
        <v>265.82000732421801</v>
      </c>
      <c r="X76">
        <v>255.77999877929599</v>
      </c>
      <c r="Y76">
        <v>261.5</v>
      </c>
      <c r="Z76">
        <v>256.85144042968699</v>
      </c>
      <c r="AA76">
        <v>32550900</v>
      </c>
      <c r="AB76">
        <v>0.1</v>
      </c>
      <c r="AC76">
        <v>1.45528833455266E-3</v>
      </c>
      <c r="AD76">
        <v>2.8014198146271901E-2</v>
      </c>
      <c r="AE76">
        <v>269.64400024413999</v>
      </c>
      <c r="AF76">
        <v>176.850006103515</v>
      </c>
      <c r="AG76">
        <v>179.13000488281199</v>
      </c>
      <c r="AH76">
        <v>176.169998168945</v>
      </c>
      <c r="AI76">
        <v>178.08000183105401</v>
      </c>
      <c r="AJ76">
        <v>168.21438598632801</v>
      </c>
      <c r="AK76">
        <v>5516700</v>
      </c>
      <c r="AL76">
        <v>0.1</v>
      </c>
      <c r="AM76">
        <v>6.9550222509979697E-3</v>
      </c>
      <c r="AN76">
        <v>1.26935947092918E-2</v>
      </c>
      <c r="AO76">
        <v>177.49699859619099</v>
      </c>
      <c r="AP76">
        <v>65.440002441406193</v>
      </c>
      <c r="AQ76">
        <v>66.379997253417898</v>
      </c>
      <c r="AR76">
        <v>65.440002441406193</v>
      </c>
      <c r="AS76">
        <v>65.959999084472599</v>
      </c>
      <c r="AT76">
        <v>62.084060668945298</v>
      </c>
      <c r="AU76">
        <v>13223200</v>
      </c>
      <c r="AV76">
        <v>0.1</v>
      </c>
      <c r="AW76">
        <v>3.65182378745787E-3</v>
      </c>
      <c r="AX76">
        <v>1.33239916316901E-2</v>
      </c>
      <c r="AY76">
        <v>64.648000335693297</v>
      </c>
      <c r="AZ76">
        <v>0.94300001859664895</v>
      </c>
      <c r="BA76">
        <v>0.98500001430511397</v>
      </c>
      <c r="BB76">
        <v>0.94300001859664895</v>
      </c>
      <c r="BC76">
        <v>0.980000019073486</v>
      </c>
      <c r="BD76">
        <v>0.980000019073486</v>
      </c>
      <c r="BE76">
        <v>0</v>
      </c>
      <c r="BF76">
        <v>0.5</v>
      </c>
      <c r="BG76">
        <v>3.9236479053202697E-2</v>
      </c>
      <c r="BH76">
        <v>5.8916204696645699E-2</v>
      </c>
      <c r="BI76">
        <v>0.87350000143051099</v>
      </c>
      <c r="BJ76">
        <f t="shared" si="1"/>
        <v>1.8373770557325277E-2</v>
      </c>
    </row>
    <row r="77" spans="1:62">
      <c r="A77" s="2">
        <v>44698</v>
      </c>
      <c r="B77">
        <v>148.86000061035099</v>
      </c>
      <c r="C77">
        <v>149.77000427246</v>
      </c>
      <c r="D77">
        <v>146.67999267578099</v>
      </c>
      <c r="E77">
        <v>149.24000549316401</v>
      </c>
      <c r="F77">
        <v>147.77061462402301</v>
      </c>
      <c r="G77">
        <v>78336300</v>
      </c>
      <c r="H77">
        <v>0.1</v>
      </c>
      <c r="I77">
        <v>2.5422649290336202E-2</v>
      </c>
      <c r="J77">
        <v>2.9467449823590602E-2</v>
      </c>
      <c r="K77">
        <v>151.75899963378899</v>
      </c>
      <c r="L77">
        <v>116.84049987792901</v>
      </c>
      <c r="M77">
        <v>116.900001525878</v>
      </c>
      <c r="N77">
        <v>114.870002746582</v>
      </c>
      <c r="O77">
        <v>116.472999572753</v>
      </c>
      <c r="P77">
        <v>116.472999572753</v>
      </c>
      <c r="Q77">
        <v>23054000</v>
      </c>
      <c r="R77">
        <v>0.1</v>
      </c>
      <c r="S77">
        <v>1.77203013092532E-2</v>
      </c>
      <c r="T77">
        <v>2.8364690145347999E-2</v>
      </c>
      <c r="U77">
        <v>115.48339996337801</v>
      </c>
      <c r="V77">
        <v>266.10998535156199</v>
      </c>
      <c r="W77">
        <v>268.329986572265</v>
      </c>
      <c r="X77">
        <v>262.45999145507801</v>
      </c>
      <c r="Y77">
        <v>266.82000732421801</v>
      </c>
      <c r="Z77">
        <v>262.076904296875</v>
      </c>
      <c r="AA77">
        <v>28828800</v>
      </c>
      <c r="AB77">
        <v>0.1</v>
      </c>
      <c r="AC77">
        <v>2.03441962685229E-2</v>
      </c>
      <c r="AD77">
        <v>2.8148839377339301E-2</v>
      </c>
      <c r="AE77">
        <v>268.14800109863199</v>
      </c>
      <c r="AF77">
        <v>178.72000122070301</v>
      </c>
      <c r="AG77">
        <v>179.69999694824199</v>
      </c>
      <c r="AH77">
        <v>176.58999633789</v>
      </c>
      <c r="AI77">
        <v>178.82000732421801</v>
      </c>
      <c r="AJ77">
        <v>168.91342163085901</v>
      </c>
      <c r="AK77">
        <v>5751100</v>
      </c>
      <c r="AL77">
        <v>0.1</v>
      </c>
      <c r="AM77">
        <v>4.15546656309051E-3</v>
      </c>
      <c r="AN77">
        <v>1.0571754360182499E-2</v>
      </c>
      <c r="AO77">
        <v>177.55</v>
      </c>
      <c r="AP77">
        <v>66.099998474121094</v>
      </c>
      <c r="AQ77">
        <v>66.099998474121094</v>
      </c>
      <c r="AR77">
        <v>65.010002136230398</v>
      </c>
      <c r="AS77">
        <v>65.779998779296804</v>
      </c>
      <c r="AT77">
        <v>61.914642333984297</v>
      </c>
      <c r="AU77">
        <v>21300600</v>
      </c>
      <c r="AV77">
        <v>0.1</v>
      </c>
      <c r="AW77">
        <v>-2.7289312867524399E-3</v>
      </c>
      <c r="AX77">
        <v>1.3195636781246099E-2</v>
      </c>
      <c r="AY77">
        <v>64.918000030517504</v>
      </c>
      <c r="AZ77">
        <v>1.0249999761581401</v>
      </c>
      <c r="BA77">
        <v>1.0429999828338601</v>
      </c>
      <c r="BB77">
        <v>1.0149999856948799</v>
      </c>
      <c r="BC77">
        <v>1.0379999876022299</v>
      </c>
      <c r="BD77">
        <v>1.0379999876022299</v>
      </c>
      <c r="BE77">
        <v>0</v>
      </c>
      <c r="BF77">
        <v>0.5</v>
      </c>
      <c r="BG77">
        <v>5.9183640203988898E-2</v>
      </c>
      <c r="BH77">
        <v>5.6186218869517697E-2</v>
      </c>
      <c r="BI77">
        <v>0.88780000209808296</v>
      </c>
      <c r="BJ77">
        <f t="shared" si="1"/>
        <v>3.6083188316439488E-2</v>
      </c>
    </row>
    <row r="78" spans="1:62">
      <c r="A78" s="2">
        <v>44699</v>
      </c>
      <c r="B78">
        <v>146.850006103515</v>
      </c>
      <c r="C78">
        <v>147.36000061035099</v>
      </c>
      <c r="D78">
        <v>139.89999389648401</v>
      </c>
      <c r="E78">
        <v>140.82000732421801</v>
      </c>
      <c r="F78">
        <v>139.43351745605401</v>
      </c>
      <c r="G78">
        <v>109742900</v>
      </c>
      <c r="H78">
        <v>0.1</v>
      </c>
      <c r="I78">
        <v>-5.64191762196831E-2</v>
      </c>
      <c r="J78">
        <v>3.1571568139656503E-2</v>
      </c>
      <c r="K78">
        <v>149.23899993896401</v>
      </c>
      <c r="L78">
        <v>115</v>
      </c>
      <c r="M78">
        <v>115.400001525878</v>
      </c>
      <c r="N78">
        <v>111.55549621582</v>
      </c>
      <c r="O78">
        <v>111.89949798583901</v>
      </c>
      <c r="P78">
        <v>111.89949798583901</v>
      </c>
      <c r="Q78">
        <v>35126000</v>
      </c>
      <c r="R78">
        <v>0.1</v>
      </c>
      <c r="S78">
        <v>-3.92666249147062E-2</v>
      </c>
      <c r="T78">
        <v>2.9311371469461299E-2</v>
      </c>
      <c r="U78">
        <v>114.447249603271</v>
      </c>
      <c r="V78">
        <v>263</v>
      </c>
      <c r="W78">
        <v>263.600006103515</v>
      </c>
      <c r="X78">
        <v>252.77000427246</v>
      </c>
      <c r="Y78">
        <v>254.08000183105401</v>
      </c>
      <c r="Z78">
        <v>250.14462280273401</v>
      </c>
      <c r="AA78">
        <v>31356000</v>
      </c>
      <c r="AB78">
        <v>0.1</v>
      </c>
      <c r="AC78">
        <v>-4.7747564438387097E-2</v>
      </c>
      <c r="AD78">
        <v>2.9809204045457501E-2</v>
      </c>
      <c r="AE78">
        <v>264.55800018310498</v>
      </c>
      <c r="AF78">
        <v>178.83999633789</v>
      </c>
      <c r="AG78">
        <v>179.36999511718699</v>
      </c>
      <c r="AH78">
        <v>175.169998168945</v>
      </c>
      <c r="AI78">
        <v>175.5</v>
      </c>
      <c r="AJ78">
        <v>165.77731323242099</v>
      </c>
      <c r="AK78">
        <v>8608800</v>
      </c>
      <c r="AL78">
        <v>0.1</v>
      </c>
      <c r="AM78">
        <v>-1.8566196109136901E-2</v>
      </c>
      <c r="AN78">
        <v>1.11697920680739E-2</v>
      </c>
      <c r="AO78">
        <v>177.08000030517499</v>
      </c>
      <c r="AP78">
        <v>65.419998168945298</v>
      </c>
      <c r="AQ78">
        <v>65.519996643066406</v>
      </c>
      <c r="AR78">
        <v>60.959999084472599</v>
      </c>
      <c r="AS78">
        <v>61.200000762939403</v>
      </c>
      <c r="AT78">
        <v>57.603771209716797</v>
      </c>
      <c r="AU78">
        <v>31437300</v>
      </c>
      <c r="AV78">
        <v>0.1</v>
      </c>
      <c r="AW78">
        <v>-6.9625997284130298E-2</v>
      </c>
      <c r="AX78">
        <v>2.01654711548051E-2</v>
      </c>
      <c r="AY78">
        <v>64.535000228881799</v>
      </c>
      <c r="AZ78">
        <v>1.0379999876022299</v>
      </c>
      <c r="BA78">
        <v>1.03999996185302</v>
      </c>
      <c r="BB78">
        <v>0.99800002574920599</v>
      </c>
      <c r="BC78">
        <v>1.0030000209808301</v>
      </c>
      <c r="BD78">
        <v>1.0030000209808301</v>
      </c>
      <c r="BE78">
        <v>0</v>
      </c>
      <c r="BF78">
        <v>0.5</v>
      </c>
      <c r="BG78">
        <v>-3.3718658034137698E-2</v>
      </c>
      <c r="BH78">
        <v>5.5598365981130903E-2</v>
      </c>
      <c r="BI78">
        <v>0.90480000376701297</v>
      </c>
      <c r="BJ78">
        <f t="shared" si="1"/>
        <v>-4.0021884913673214E-2</v>
      </c>
    </row>
    <row r="79" spans="1:62">
      <c r="A79" s="2">
        <v>44700</v>
      </c>
      <c r="B79">
        <v>139.88000488281199</v>
      </c>
      <c r="C79">
        <v>141.66000366210901</v>
      </c>
      <c r="D79">
        <v>136.600006103515</v>
      </c>
      <c r="E79">
        <v>137.350006103515</v>
      </c>
      <c r="F79">
        <v>135.99766540527301</v>
      </c>
      <c r="G79">
        <v>136095600</v>
      </c>
      <c r="H79">
        <v>0.1</v>
      </c>
      <c r="I79">
        <v>-2.46413935536441E-2</v>
      </c>
      <c r="J79">
        <v>3.1774466092814403E-2</v>
      </c>
      <c r="K79">
        <v>147.29700012206999</v>
      </c>
      <c r="L79">
        <v>111.431503295898</v>
      </c>
      <c r="M79">
        <v>113.01000213623</v>
      </c>
      <c r="N79">
        <v>110</v>
      </c>
      <c r="O79">
        <v>110.38400268554599</v>
      </c>
      <c r="P79">
        <v>110.38400268554599</v>
      </c>
      <c r="Q79">
        <v>34144000</v>
      </c>
      <c r="R79">
        <v>0.1</v>
      </c>
      <c r="S79">
        <v>-1.3543361029955099E-2</v>
      </c>
      <c r="T79">
        <v>2.9030736164662899E-2</v>
      </c>
      <c r="U79">
        <v>113.83509979247999</v>
      </c>
      <c r="V79">
        <v>253.89999389648401</v>
      </c>
      <c r="W79">
        <v>257.67001342773398</v>
      </c>
      <c r="X79">
        <v>251.88000488281199</v>
      </c>
      <c r="Y79">
        <v>253.13999938964801</v>
      </c>
      <c r="Z79">
        <v>249.21917724609301</v>
      </c>
      <c r="AA79">
        <v>32692300</v>
      </c>
      <c r="AB79">
        <v>0.1</v>
      </c>
      <c r="AC79">
        <v>-3.6996317483942698E-3</v>
      </c>
      <c r="AD79">
        <v>2.9631641438875901E-2</v>
      </c>
      <c r="AE79">
        <v>262.13699951171799</v>
      </c>
      <c r="AF79">
        <v>174.72000122070301</v>
      </c>
      <c r="AG79">
        <v>174.80000305175699</v>
      </c>
      <c r="AH79">
        <v>172.69000244140599</v>
      </c>
      <c r="AI79">
        <v>173.94000244140599</v>
      </c>
      <c r="AJ79">
        <v>164.30374145507801</v>
      </c>
      <c r="AK79">
        <v>6874500</v>
      </c>
      <c r="AL79">
        <v>0.1</v>
      </c>
      <c r="AM79">
        <v>-8.8888749777421509E-3</v>
      </c>
      <c r="AN79">
        <v>1.12673623041751E-2</v>
      </c>
      <c r="AO79">
        <v>176.798001098632</v>
      </c>
      <c r="AP79">
        <v>60.959999084472599</v>
      </c>
      <c r="AQ79">
        <v>60.959999084472599</v>
      </c>
      <c r="AR79">
        <v>59.659999847412102</v>
      </c>
      <c r="AS79">
        <v>60</v>
      </c>
      <c r="AT79">
        <v>56.474281311035099</v>
      </c>
      <c r="AU79">
        <v>31493900</v>
      </c>
      <c r="AV79">
        <v>0.1</v>
      </c>
      <c r="AW79">
        <v>-1.9607855359147702E-2</v>
      </c>
      <c r="AX79">
        <v>2.0395245139275701E-2</v>
      </c>
      <c r="AY79">
        <v>64.084000015258795</v>
      </c>
      <c r="AZ79">
        <v>0.99500000476837103</v>
      </c>
      <c r="BA79">
        <v>1.0030000209808301</v>
      </c>
      <c r="BB79">
        <v>0.980000019073486</v>
      </c>
      <c r="BC79">
        <v>1</v>
      </c>
      <c r="BD79">
        <v>1</v>
      </c>
      <c r="BE79">
        <v>0</v>
      </c>
      <c r="BF79">
        <v>0.5</v>
      </c>
      <c r="BG79">
        <v>-2.991047774756E-3</v>
      </c>
      <c r="BH79">
        <v>5.5696757331903303E-2</v>
      </c>
      <c r="BI79">
        <v>0.92450000643730101</v>
      </c>
      <c r="BJ79">
        <f t="shared" si="1"/>
        <v>-8.533635554266332E-3</v>
      </c>
    </row>
    <row r="80" spans="1:62">
      <c r="A80" s="2">
        <v>44701</v>
      </c>
      <c r="B80">
        <v>139.08999633789</v>
      </c>
      <c r="C80">
        <v>140.69999694824199</v>
      </c>
      <c r="D80">
        <v>132.61000061035099</v>
      </c>
      <c r="E80">
        <v>137.58999633789</v>
      </c>
      <c r="F80">
        <v>136.23530578613199</v>
      </c>
      <c r="G80">
        <v>137426100</v>
      </c>
      <c r="H80">
        <v>0.1</v>
      </c>
      <c r="I80">
        <v>1.74728957925296E-3</v>
      </c>
      <c r="J80">
        <v>3.1543128016193502E-2</v>
      </c>
      <c r="K80">
        <v>145.32799987792899</v>
      </c>
      <c r="L80">
        <v>111.950996398925</v>
      </c>
      <c r="M80">
        <v>112.183502197265</v>
      </c>
      <c r="N80">
        <v>105.796501159667</v>
      </c>
      <c r="O80">
        <v>108.907997131347</v>
      </c>
      <c r="P80">
        <v>108.907997131347</v>
      </c>
      <c r="Q80">
        <v>48962000</v>
      </c>
      <c r="R80">
        <v>0.1</v>
      </c>
      <c r="S80">
        <v>-1.3371553108143299E-2</v>
      </c>
      <c r="T80">
        <v>2.7864602637462599E-2</v>
      </c>
      <c r="U80">
        <v>113.151249694824</v>
      </c>
      <c r="V80">
        <v>257.239990234375</v>
      </c>
      <c r="W80">
        <v>258.54000854492102</v>
      </c>
      <c r="X80">
        <v>246.44000244140599</v>
      </c>
      <c r="Y80">
        <v>252.55999755859301</v>
      </c>
      <c r="Z80">
        <v>248.64816284179599</v>
      </c>
      <c r="AA80">
        <v>39199300</v>
      </c>
      <c r="AB80">
        <v>0.1</v>
      </c>
      <c r="AC80">
        <v>-2.2912294874501901E-3</v>
      </c>
      <c r="AD80">
        <v>2.92798327843731E-2</v>
      </c>
      <c r="AE80">
        <v>259.91999816894503</v>
      </c>
      <c r="AF80">
        <v>174.850006103515</v>
      </c>
      <c r="AG80">
        <v>177.16000366210901</v>
      </c>
      <c r="AH80">
        <v>174.05000305175699</v>
      </c>
      <c r="AI80">
        <v>176.97999572753901</v>
      </c>
      <c r="AJ80">
        <v>167.17535400390599</v>
      </c>
      <c r="AK80">
        <v>7522100</v>
      </c>
      <c r="AL80">
        <v>0.1</v>
      </c>
      <c r="AM80">
        <v>1.7477252175829201E-2</v>
      </c>
      <c r="AN80">
        <v>1.1970435280937801E-2</v>
      </c>
      <c r="AO80">
        <v>176.859001159667</v>
      </c>
      <c r="AP80">
        <v>60.490001678466797</v>
      </c>
      <c r="AQ80">
        <v>61.240001678466797</v>
      </c>
      <c r="AR80">
        <v>59.659999847412102</v>
      </c>
      <c r="AS80">
        <v>60.9799995422363</v>
      </c>
      <c r="AT80">
        <v>57.396694183349602</v>
      </c>
      <c r="AU80">
        <v>29133800</v>
      </c>
      <c r="AV80">
        <v>0.1</v>
      </c>
      <c r="AW80">
        <v>1.6333325703938799E-2</v>
      </c>
      <c r="AX80">
        <v>2.07780250952504E-2</v>
      </c>
      <c r="AY80">
        <v>63.708000183105398</v>
      </c>
      <c r="AZ80">
        <v>0.99800002574920599</v>
      </c>
      <c r="BA80">
        <v>1.00499999523162</v>
      </c>
      <c r="BB80">
        <v>0.97500002384185702</v>
      </c>
      <c r="BC80">
        <v>0.97799998521804798</v>
      </c>
      <c r="BD80">
        <v>0.97799998521804798</v>
      </c>
      <c r="BE80">
        <v>0</v>
      </c>
      <c r="BF80">
        <v>0.5</v>
      </c>
      <c r="BG80">
        <v>-2.2000014781951901E-2</v>
      </c>
      <c r="BH80">
        <v>5.5594032880208803E-2</v>
      </c>
      <c r="BI80">
        <v>0.94080000519752505</v>
      </c>
      <c r="BJ80">
        <f t="shared" si="1"/>
        <v>-9.0104989046332039E-3</v>
      </c>
    </row>
    <row r="81" spans="1:62">
      <c r="A81" s="2">
        <v>44704</v>
      </c>
      <c r="B81">
        <v>137.78999328613199</v>
      </c>
      <c r="C81">
        <v>143.259994506835</v>
      </c>
      <c r="D81">
        <v>137.64999389648401</v>
      </c>
      <c r="E81">
        <v>143.11000061035099</v>
      </c>
      <c r="F81">
        <v>141.70094299316401</v>
      </c>
      <c r="G81">
        <v>117726300</v>
      </c>
      <c r="H81">
        <v>0.1</v>
      </c>
      <c r="I81">
        <v>4.0119226828853202E-2</v>
      </c>
      <c r="J81">
        <v>3.3181874925881399E-2</v>
      </c>
      <c r="K81">
        <v>144.43300018310501</v>
      </c>
      <c r="L81">
        <v>109.587501525878</v>
      </c>
      <c r="M81">
        <v>112.147499084472</v>
      </c>
      <c r="N81">
        <v>108.740997314453</v>
      </c>
      <c r="O81">
        <v>111.487998962402</v>
      </c>
      <c r="P81">
        <v>111.487998962402</v>
      </c>
      <c r="Q81">
        <v>37184000</v>
      </c>
      <c r="R81">
        <v>0.1</v>
      </c>
      <c r="S81">
        <v>2.3689737200318601E-2</v>
      </c>
      <c r="T81">
        <v>2.7570513072143799E-2</v>
      </c>
      <c r="U81">
        <v>113.04894943237301</v>
      </c>
      <c r="V81">
        <v>255.49000549316401</v>
      </c>
      <c r="W81">
        <v>261.5</v>
      </c>
      <c r="X81">
        <v>253.42999267578099</v>
      </c>
      <c r="Y81">
        <v>260.64999389648398</v>
      </c>
      <c r="Z81">
        <v>256.61288452148398</v>
      </c>
      <c r="AA81">
        <v>33175400</v>
      </c>
      <c r="AB81">
        <v>0.1</v>
      </c>
      <c r="AC81">
        <v>3.2031978207529697E-2</v>
      </c>
      <c r="AD81">
        <v>2.9710700952762799E-2</v>
      </c>
      <c r="AE81">
        <v>259.52699890136699</v>
      </c>
      <c r="AF81">
        <v>177.600006103515</v>
      </c>
      <c r="AG81">
        <v>179.92999267578099</v>
      </c>
      <c r="AH81">
        <v>177.46000671386699</v>
      </c>
      <c r="AI81">
        <v>179.44000244140599</v>
      </c>
      <c r="AJ81">
        <v>170.58825683593699</v>
      </c>
      <c r="AK81">
        <v>7040800</v>
      </c>
      <c r="AL81">
        <v>0.1</v>
      </c>
      <c r="AM81">
        <v>1.3899913963465E-2</v>
      </c>
      <c r="AN81">
        <v>1.09494405488322E-2</v>
      </c>
      <c r="AO81">
        <v>177.07000122070301</v>
      </c>
      <c r="AP81">
        <v>61.650001525878899</v>
      </c>
      <c r="AQ81">
        <v>63.099998474121001</v>
      </c>
      <c r="AR81">
        <v>61.590000152587798</v>
      </c>
      <c r="AS81">
        <v>62.860000610351499</v>
      </c>
      <c r="AT81">
        <v>59.166229248046797</v>
      </c>
      <c r="AU81">
        <v>19406900</v>
      </c>
      <c r="AV81">
        <v>0.1</v>
      </c>
      <c r="AW81">
        <v>3.0829798003082901E-2</v>
      </c>
      <c r="AX81">
        <v>2.1944044292290299E-2</v>
      </c>
      <c r="AY81">
        <v>63.533000183105401</v>
      </c>
      <c r="AZ81">
        <v>0.98500001430511397</v>
      </c>
      <c r="BA81">
        <v>0.99800002574920599</v>
      </c>
      <c r="BB81">
        <v>0.97799998521804798</v>
      </c>
      <c r="BC81">
        <v>0.99299997091293302</v>
      </c>
      <c r="BD81">
        <v>0.99299997091293302</v>
      </c>
      <c r="BE81">
        <v>0</v>
      </c>
      <c r="BF81">
        <v>0.5</v>
      </c>
      <c r="BG81">
        <v>1.5337408917793499E-2</v>
      </c>
      <c r="BH81">
        <v>5.5545477795371903E-2</v>
      </c>
      <c r="BI81">
        <v>0.960100001096725</v>
      </c>
      <c r="BJ81">
        <f t="shared" si="1"/>
        <v>2.1725769879221694E-2</v>
      </c>
    </row>
    <row r="82" spans="1:62">
      <c r="A82" s="2">
        <v>44705</v>
      </c>
      <c r="B82">
        <v>140.80999755859301</v>
      </c>
      <c r="C82">
        <v>141.97000122070301</v>
      </c>
      <c r="D82">
        <v>137.33000183105401</v>
      </c>
      <c r="E82">
        <v>140.36000061035099</v>
      </c>
      <c r="F82">
        <v>138.97801208496</v>
      </c>
      <c r="G82">
        <v>104132700</v>
      </c>
      <c r="H82">
        <v>0.1</v>
      </c>
      <c r="I82">
        <v>-1.9215987619813302E-2</v>
      </c>
      <c r="J82">
        <v>3.25201975759307E-2</v>
      </c>
      <c r="K82">
        <v>143.01800079345699</v>
      </c>
      <c r="L82">
        <v>105.772003173828</v>
      </c>
      <c r="M82">
        <v>106.45850372314401</v>
      </c>
      <c r="N82">
        <v>101.88449859619099</v>
      </c>
      <c r="O82">
        <v>105.970001220703</v>
      </c>
      <c r="P82">
        <v>105.970001220703</v>
      </c>
      <c r="Q82">
        <v>76780000</v>
      </c>
      <c r="R82">
        <v>0.1</v>
      </c>
      <c r="S82">
        <v>-4.9494096163301603E-2</v>
      </c>
      <c r="T82">
        <v>2.8531710906038302E-2</v>
      </c>
      <c r="U82">
        <v>112.206449890136</v>
      </c>
      <c r="V82">
        <v>257.89001464843699</v>
      </c>
      <c r="W82">
        <v>261.329986572265</v>
      </c>
      <c r="X82">
        <v>253.5</v>
      </c>
      <c r="Y82">
        <v>259.61999511718699</v>
      </c>
      <c r="Z82">
        <v>255.59878540039</v>
      </c>
      <c r="AA82">
        <v>29043900</v>
      </c>
      <c r="AB82">
        <v>0.1</v>
      </c>
      <c r="AC82">
        <v>-3.9516547224855902E-3</v>
      </c>
      <c r="AD82">
        <v>2.8609811668149701E-2</v>
      </c>
      <c r="AE82">
        <v>258.53899841308498</v>
      </c>
      <c r="AF82">
        <v>179.25</v>
      </c>
      <c r="AG82">
        <v>181.74000549316401</v>
      </c>
      <c r="AH82">
        <v>179.100006103515</v>
      </c>
      <c r="AI82">
        <v>181.39999389648401</v>
      </c>
      <c r="AJ82">
        <v>172.45153808593699</v>
      </c>
      <c r="AK82">
        <v>6419800</v>
      </c>
      <c r="AL82">
        <v>0.1</v>
      </c>
      <c r="AM82">
        <v>1.09228233861518E-2</v>
      </c>
      <c r="AN82">
        <v>1.1221772676727901E-2</v>
      </c>
      <c r="AO82">
        <v>177.50100097656201</v>
      </c>
      <c r="AP82">
        <v>62.880001068115199</v>
      </c>
      <c r="AQ82">
        <v>64.190002441406193</v>
      </c>
      <c r="AR82">
        <v>62.75</v>
      </c>
      <c r="AS82">
        <v>64.019996643066406</v>
      </c>
      <c r="AT82">
        <v>60.258052825927699</v>
      </c>
      <c r="AU82">
        <v>16154200</v>
      </c>
      <c r="AV82">
        <v>0.1</v>
      </c>
      <c r="AW82">
        <v>1.8453643357487101E-2</v>
      </c>
      <c r="AX82">
        <v>2.2235979518839499E-2</v>
      </c>
      <c r="AY82">
        <v>63.533999633789001</v>
      </c>
      <c r="AZ82">
        <v>1.0379999876022299</v>
      </c>
      <c r="BA82">
        <v>1.0429999828338601</v>
      </c>
      <c r="BB82">
        <v>1.0329999923705999</v>
      </c>
      <c r="BC82">
        <v>1.0429999828338601</v>
      </c>
      <c r="BD82">
        <v>1.0429999828338601</v>
      </c>
      <c r="BE82">
        <v>0</v>
      </c>
      <c r="BF82">
        <v>0.5</v>
      </c>
      <c r="BG82">
        <v>5.03524807507904E-2</v>
      </c>
      <c r="BH82">
        <v>5.5757654993572797E-2</v>
      </c>
      <c r="BI82">
        <v>0.97659999728202795</v>
      </c>
      <c r="BJ82">
        <f t="shared" si="1"/>
        <v>2.0847713199199043E-2</v>
      </c>
    </row>
    <row r="83" spans="1:62">
      <c r="A83" s="2">
        <v>44706</v>
      </c>
      <c r="B83">
        <v>138.42999267578099</v>
      </c>
      <c r="C83">
        <v>141.78999328613199</v>
      </c>
      <c r="D83">
        <v>138.33999633789</v>
      </c>
      <c r="E83">
        <v>140.52000427246</v>
      </c>
      <c r="F83">
        <v>139.136459350585</v>
      </c>
      <c r="G83">
        <v>92482700</v>
      </c>
      <c r="H83">
        <v>0.1</v>
      </c>
      <c r="I83">
        <v>1.1399519906925E-3</v>
      </c>
      <c r="J83">
        <v>3.2540392397509402E-2</v>
      </c>
      <c r="K83">
        <v>142.420001220703</v>
      </c>
      <c r="L83">
        <v>104.98549652099599</v>
      </c>
      <c r="M83">
        <v>106.5</v>
      </c>
      <c r="N83">
        <v>103.85649871826099</v>
      </c>
      <c r="O83">
        <v>105.805000305175</v>
      </c>
      <c r="P83">
        <v>105.805000305175</v>
      </c>
      <c r="Q83">
        <v>40258000</v>
      </c>
      <c r="R83">
        <v>0.1</v>
      </c>
      <c r="S83">
        <v>-1.55705306810083E-3</v>
      </c>
      <c r="T83">
        <v>2.7557652220299E-2</v>
      </c>
      <c r="U83">
        <v>111.426699829101</v>
      </c>
      <c r="V83">
        <v>258.14001464843699</v>
      </c>
      <c r="W83">
        <v>264.579986572265</v>
      </c>
      <c r="X83">
        <v>257.13000488281199</v>
      </c>
      <c r="Y83">
        <v>262.51998901367102</v>
      </c>
      <c r="Z83">
        <v>258.45394897460898</v>
      </c>
      <c r="AA83">
        <v>28547900</v>
      </c>
      <c r="AB83">
        <v>0.1</v>
      </c>
      <c r="AC83">
        <v>1.11701484902015E-2</v>
      </c>
      <c r="AD83">
        <v>2.6333064009518199E-2</v>
      </c>
      <c r="AE83">
        <v>258.735998535156</v>
      </c>
      <c r="AF83">
        <v>180.52999877929599</v>
      </c>
      <c r="AG83">
        <v>181.55000305175699</v>
      </c>
      <c r="AH83">
        <v>179.05999755859301</v>
      </c>
      <c r="AI83">
        <v>179.61999511718699</v>
      </c>
      <c r="AJ83">
        <v>170.759353637695</v>
      </c>
      <c r="AK83">
        <v>6558900</v>
      </c>
      <c r="AL83">
        <v>0.1</v>
      </c>
      <c r="AM83">
        <v>-9.8125625093054003E-3</v>
      </c>
      <c r="AN83">
        <v>1.1002019288547601E-2</v>
      </c>
      <c r="AO83">
        <v>177.85</v>
      </c>
      <c r="AP83">
        <v>64</v>
      </c>
      <c r="AQ83">
        <v>64.470001220703097</v>
      </c>
      <c r="AR83">
        <v>63.599998474121001</v>
      </c>
      <c r="AS83">
        <v>64.069999694824205</v>
      </c>
      <c r="AT83">
        <v>60.305118560791001</v>
      </c>
      <c r="AU83">
        <v>15360500</v>
      </c>
      <c r="AV83">
        <v>0.1</v>
      </c>
      <c r="AW83">
        <v>7.8105364541958201E-4</v>
      </c>
      <c r="AX83">
        <v>2.2151527546757699E-2</v>
      </c>
      <c r="AY83">
        <v>63.509999847412097</v>
      </c>
      <c r="AZ83">
        <v>1.0329999923705999</v>
      </c>
      <c r="BA83">
        <v>1.0479999780654901</v>
      </c>
      <c r="BB83">
        <v>1.01800000667572</v>
      </c>
      <c r="BC83">
        <v>1.04499995708465</v>
      </c>
      <c r="BD83">
        <v>1.04499995708465</v>
      </c>
      <c r="BE83">
        <v>0</v>
      </c>
      <c r="BF83">
        <v>0.5</v>
      </c>
      <c r="BG83">
        <v>1.91752088562791E-3</v>
      </c>
      <c r="BH83">
        <v>5.49207361244263E-2</v>
      </c>
      <c r="BI83">
        <v>0.99279999136924701</v>
      </c>
      <c r="BJ83">
        <f t="shared" si="1"/>
        <v>1.1309142977046903E-3</v>
      </c>
    </row>
    <row r="84" spans="1:62">
      <c r="A84" s="2">
        <v>44707</v>
      </c>
      <c r="B84">
        <v>137.38999938964801</v>
      </c>
      <c r="C84">
        <v>144.33999633789</v>
      </c>
      <c r="D84">
        <v>137.13999938964801</v>
      </c>
      <c r="E84">
        <v>143.77999877929599</v>
      </c>
      <c r="F84">
        <v>142.36436462402301</v>
      </c>
      <c r="G84">
        <v>90601500</v>
      </c>
      <c r="H84">
        <v>0.1</v>
      </c>
      <c r="I84">
        <v>2.3199504751757399E-2</v>
      </c>
      <c r="J84">
        <v>3.11018575311507E-2</v>
      </c>
      <c r="K84">
        <v>142.54200134277301</v>
      </c>
      <c r="L84">
        <v>105.677001953125</v>
      </c>
      <c r="M84">
        <v>108.64949798583901</v>
      </c>
      <c r="N84">
        <v>105.22499847412099</v>
      </c>
      <c r="O84">
        <v>107.792503356933</v>
      </c>
      <c r="P84">
        <v>107.792503356933</v>
      </c>
      <c r="Q84">
        <v>37948000</v>
      </c>
      <c r="R84">
        <v>0.1</v>
      </c>
      <c r="S84">
        <v>1.87845852844876E-2</v>
      </c>
      <c r="T84">
        <v>2.6427538481073602E-2</v>
      </c>
      <c r="U84">
        <v>110.92154998779201</v>
      </c>
      <c r="V84">
        <v>262.26998901367102</v>
      </c>
      <c r="W84">
        <v>267.10998535156199</v>
      </c>
      <c r="X84">
        <v>261.42999267578102</v>
      </c>
      <c r="Y84">
        <v>265.89999389648398</v>
      </c>
      <c r="Z84">
        <v>261.78155517578102</v>
      </c>
      <c r="AA84">
        <v>25002100</v>
      </c>
      <c r="AB84">
        <v>0.1</v>
      </c>
      <c r="AC84">
        <v>1.28752286464421E-2</v>
      </c>
      <c r="AD84">
        <v>2.5911312517209299E-2</v>
      </c>
      <c r="AE84">
        <v>259.79099731445302</v>
      </c>
      <c r="AF84">
        <v>181</v>
      </c>
      <c r="AG84">
        <v>181</v>
      </c>
      <c r="AH84">
        <v>178.600006103515</v>
      </c>
      <c r="AI84">
        <v>179.46000671386699</v>
      </c>
      <c r="AJ84">
        <v>170.60726928710901</v>
      </c>
      <c r="AK84">
        <v>6897600</v>
      </c>
      <c r="AL84">
        <v>0.1</v>
      </c>
      <c r="AM84">
        <v>-8.9070486398767901E-4</v>
      </c>
      <c r="AN84">
        <v>1.0835785713543799E-2</v>
      </c>
      <c r="AO84">
        <v>178.00900115966701</v>
      </c>
      <c r="AP84">
        <v>64.069999694824205</v>
      </c>
      <c r="AQ84">
        <v>65.099998474121094</v>
      </c>
      <c r="AR84">
        <v>63.959999084472599</v>
      </c>
      <c r="AS84">
        <v>64.300003051757798</v>
      </c>
      <c r="AT84">
        <v>60.521610260009702</v>
      </c>
      <c r="AU84">
        <v>16159800</v>
      </c>
      <c r="AV84">
        <v>0.1</v>
      </c>
      <c r="AW84">
        <v>3.5898760422841099E-3</v>
      </c>
      <c r="AX84">
        <v>2.2041681321141701E-2</v>
      </c>
      <c r="AY84">
        <v>63.488999938964803</v>
      </c>
      <c r="AZ84">
        <v>1.02300000190734</v>
      </c>
      <c r="BA84">
        <v>1.0429999828338601</v>
      </c>
      <c r="BB84">
        <v>1.00800001621246</v>
      </c>
      <c r="BC84">
        <v>1.0279999971389699</v>
      </c>
      <c r="BD84">
        <v>1.0279999971389699</v>
      </c>
      <c r="BE84">
        <v>0</v>
      </c>
      <c r="BF84">
        <v>0.5</v>
      </c>
      <c r="BG84">
        <v>-1.6267904922317201E-2</v>
      </c>
      <c r="BH84">
        <v>5.44867316244909E-2</v>
      </c>
      <c r="BI84">
        <v>1.0050999939441601</v>
      </c>
      <c r="BJ84">
        <f t="shared" si="1"/>
        <v>-2.378103475060248E-3</v>
      </c>
    </row>
    <row r="85" spans="1:62">
      <c r="A85" s="2">
        <v>44708</v>
      </c>
      <c r="B85">
        <v>145.38999938964801</v>
      </c>
      <c r="C85">
        <v>149.67999267578099</v>
      </c>
      <c r="D85">
        <v>145.259994506835</v>
      </c>
      <c r="E85">
        <v>149.63999938964801</v>
      </c>
      <c r="F85">
        <v>148.16664123535099</v>
      </c>
      <c r="G85">
        <v>90978500</v>
      </c>
      <c r="H85">
        <v>0.1</v>
      </c>
      <c r="I85">
        <v>4.0756716233853102E-2</v>
      </c>
      <c r="J85">
        <v>3.18937888291254E-2</v>
      </c>
      <c r="K85">
        <v>142.795001220703</v>
      </c>
      <c r="L85">
        <v>109.48300170898401</v>
      </c>
      <c r="M85">
        <v>112.318000793457</v>
      </c>
      <c r="N85">
        <v>109.138496398925</v>
      </c>
      <c r="O85">
        <v>112.31649780273401</v>
      </c>
      <c r="P85">
        <v>112.31649780273401</v>
      </c>
      <c r="Q85">
        <v>37914000</v>
      </c>
      <c r="R85">
        <v>0.1</v>
      </c>
      <c r="S85">
        <v>4.1969471947603497E-2</v>
      </c>
      <c r="T85">
        <v>2.7172153673877701E-2</v>
      </c>
      <c r="U85">
        <v>110.548149871826</v>
      </c>
      <c r="V85">
        <v>268.48001098632801</v>
      </c>
      <c r="W85">
        <v>273.33999633789</v>
      </c>
      <c r="X85">
        <v>267.55999755859301</v>
      </c>
      <c r="Y85">
        <v>273.239990234375</v>
      </c>
      <c r="Z85">
        <v>269.00787353515602</v>
      </c>
      <c r="AA85">
        <v>26910800</v>
      </c>
      <c r="AB85">
        <v>0.1</v>
      </c>
      <c r="AC85">
        <v>2.7604349403438099E-2</v>
      </c>
      <c r="AD85">
        <v>2.5211488799093899E-2</v>
      </c>
      <c r="AE85">
        <v>261.002996826171</v>
      </c>
      <c r="AF85">
        <v>179.759994506835</v>
      </c>
      <c r="AG85">
        <v>181.16000366210901</v>
      </c>
      <c r="AH85">
        <v>178.22999572753901</v>
      </c>
      <c r="AI85">
        <v>181.08999633789</v>
      </c>
      <c r="AJ85">
        <v>172.15686035156199</v>
      </c>
      <c r="AK85">
        <v>5853600</v>
      </c>
      <c r="AL85">
        <v>0.1</v>
      </c>
      <c r="AM85">
        <v>9.0827458098912094E-3</v>
      </c>
      <c r="AN85">
        <v>1.04297605862537E-2</v>
      </c>
      <c r="AO85">
        <v>178.43300018310501</v>
      </c>
      <c r="AP85">
        <v>64.260002136230398</v>
      </c>
      <c r="AQ85">
        <v>64.830001831054602</v>
      </c>
      <c r="AR85">
        <v>64.139999389648395</v>
      </c>
      <c r="AS85">
        <v>64.680000305175696</v>
      </c>
      <c r="AT85">
        <v>60.879280090332003</v>
      </c>
      <c r="AU85">
        <v>17709000</v>
      </c>
      <c r="AV85">
        <v>0.1</v>
      </c>
      <c r="AW85">
        <v>5.9097548271045399E-3</v>
      </c>
      <c r="AX85">
        <v>2.1427756147885401E-2</v>
      </c>
      <c r="AY85">
        <v>63.384999847412097</v>
      </c>
      <c r="AZ85">
        <v>1.0329999923705999</v>
      </c>
      <c r="BA85">
        <v>1.03999996185302</v>
      </c>
      <c r="BB85">
        <v>1.00999999046325</v>
      </c>
      <c r="BC85">
        <v>1.0249999761581401</v>
      </c>
      <c r="BD85">
        <v>1.0249999761581401</v>
      </c>
      <c r="BE85">
        <v>0</v>
      </c>
      <c r="BF85">
        <v>0.5</v>
      </c>
      <c r="BG85">
        <v>-2.9183083552376502E-3</v>
      </c>
      <c r="BH85">
        <v>5.4515505032996597E-2</v>
      </c>
      <c r="BI85">
        <v>1.0132999897003101</v>
      </c>
      <c r="BJ85">
        <f t="shared" si="1"/>
        <v>1.1073149644570221E-2</v>
      </c>
    </row>
    <row r="86" spans="1:62">
      <c r="A86" s="2">
        <v>44712</v>
      </c>
      <c r="B86">
        <v>149.07000732421801</v>
      </c>
      <c r="C86">
        <v>150.66000366210901</v>
      </c>
      <c r="D86">
        <v>146.83999633789</v>
      </c>
      <c r="E86">
        <v>148.83999633789</v>
      </c>
      <c r="F86">
        <v>147.37452697753901</v>
      </c>
      <c r="G86">
        <v>103718400</v>
      </c>
      <c r="H86">
        <v>0.1</v>
      </c>
      <c r="I86">
        <v>-5.3461845430423597E-3</v>
      </c>
      <c r="J86">
        <v>3.1886436172272298E-2</v>
      </c>
      <c r="K86">
        <v>143.12500152587799</v>
      </c>
      <c r="L86">
        <v>112.74649810791</v>
      </c>
      <c r="M86">
        <v>115.73500061035099</v>
      </c>
      <c r="N86">
        <v>112.078498840332</v>
      </c>
      <c r="O86">
        <v>113.762001037597</v>
      </c>
      <c r="P86">
        <v>113.762001037597</v>
      </c>
      <c r="Q86">
        <v>50012000</v>
      </c>
      <c r="R86">
        <v>0.1</v>
      </c>
      <c r="S86">
        <v>1.2869910148036E-2</v>
      </c>
      <c r="T86">
        <v>2.6864516034769699E-2</v>
      </c>
      <c r="U86">
        <v>110.47985000610301</v>
      </c>
      <c r="V86">
        <v>272.52999877929602</v>
      </c>
      <c r="W86">
        <v>274.76998901367102</v>
      </c>
      <c r="X86">
        <v>268.92999267578102</v>
      </c>
      <c r="Y86">
        <v>271.86999511718699</v>
      </c>
      <c r="Z86">
        <v>267.65905761718699</v>
      </c>
      <c r="AA86">
        <v>37827700</v>
      </c>
      <c r="AB86">
        <v>0.1</v>
      </c>
      <c r="AC86">
        <v>-5.0138894969670098E-3</v>
      </c>
      <c r="AD86">
        <v>2.4496167077062699E-2</v>
      </c>
      <c r="AE86">
        <v>262.03999633788999</v>
      </c>
      <c r="AF86">
        <v>178</v>
      </c>
      <c r="AG86">
        <v>180.169998168945</v>
      </c>
      <c r="AH86">
        <v>175.009994506835</v>
      </c>
      <c r="AI86">
        <v>179.52999877929599</v>
      </c>
      <c r="AJ86">
        <v>170.67379760742099</v>
      </c>
      <c r="AK86">
        <v>16391400</v>
      </c>
      <c r="AL86">
        <v>0.1</v>
      </c>
      <c r="AM86">
        <v>-8.6144877692911903E-3</v>
      </c>
      <c r="AN86">
        <v>1.03581641494448E-2</v>
      </c>
      <c r="AO86">
        <v>178.57799987792899</v>
      </c>
      <c r="AP86">
        <v>64.080001831054602</v>
      </c>
      <c r="AQ86">
        <v>64.319999694824205</v>
      </c>
      <c r="AR86">
        <v>63.049999237060497</v>
      </c>
      <c r="AS86">
        <v>63.380001068115199</v>
      </c>
      <c r="AT86">
        <v>59.655673980712798</v>
      </c>
      <c r="AU86">
        <v>43159000</v>
      </c>
      <c r="AV86">
        <v>0.1</v>
      </c>
      <c r="AW86">
        <v>-2.0098936779944801E-2</v>
      </c>
      <c r="AX86">
        <v>2.1522050162680099E-2</v>
      </c>
      <c r="AY86">
        <v>63.127000045776299</v>
      </c>
      <c r="AZ86">
        <v>1.0379999876022299</v>
      </c>
      <c r="BA86">
        <v>1.04499995708465</v>
      </c>
      <c r="BB86">
        <v>1.01300001144409</v>
      </c>
      <c r="BC86">
        <v>1.0299999713897701</v>
      </c>
      <c r="BD86">
        <v>1.0299999713897701</v>
      </c>
      <c r="BE86">
        <v>0</v>
      </c>
      <c r="BF86">
        <v>0.5</v>
      </c>
      <c r="BG86">
        <v>4.8780442418829796E-3</v>
      </c>
      <c r="BH86">
        <v>5.2286286786449199E-2</v>
      </c>
      <c r="BI86">
        <v>1.0182999849319401</v>
      </c>
      <c r="BJ86">
        <f t="shared" si="1"/>
        <v>-1.8133672317944616E-4</v>
      </c>
    </row>
    <row r="87" spans="1:62">
      <c r="A87" s="2">
        <v>44713</v>
      </c>
      <c r="B87">
        <v>149.89999389648401</v>
      </c>
      <c r="C87">
        <v>151.74000549316401</v>
      </c>
      <c r="D87">
        <v>147.67999267578099</v>
      </c>
      <c r="E87">
        <v>148.71000671386699</v>
      </c>
      <c r="F87">
        <v>147.24580383300699</v>
      </c>
      <c r="G87">
        <v>74286600</v>
      </c>
      <c r="H87">
        <v>0.1</v>
      </c>
      <c r="I87">
        <v>-8.73351432556734E-4</v>
      </c>
      <c r="J87">
        <v>3.1762864033947201E-2</v>
      </c>
      <c r="K87">
        <v>143.07200164794901</v>
      </c>
      <c r="L87">
        <v>114.855003356933</v>
      </c>
      <c r="M87">
        <v>117.101501464843</v>
      </c>
      <c r="N87">
        <v>113.25</v>
      </c>
      <c r="O87">
        <v>113.891998291015</v>
      </c>
      <c r="P87">
        <v>113.891998291015</v>
      </c>
      <c r="Q87">
        <v>36606000</v>
      </c>
      <c r="R87">
        <v>0.1</v>
      </c>
      <c r="S87">
        <v>1.14271243677399E-3</v>
      </c>
      <c r="T87">
        <v>2.68145952496813E-2</v>
      </c>
      <c r="U87">
        <v>110.221749877929</v>
      </c>
      <c r="V87">
        <v>275.20001220703102</v>
      </c>
      <c r="W87">
        <v>277.69000244140602</v>
      </c>
      <c r="X87">
        <v>270.04000854492102</v>
      </c>
      <c r="Y87">
        <v>272.42001342773398</v>
      </c>
      <c r="Z87">
        <v>268.200592041015</v>
      </c>
      <c r="AA87">
        <v>25292200</v>
      </c>
      <c r="AB87">
        <v>0.1</v>
      </c>
      <c r="AC87">
        <v>2.0230930975291199E-3</v>
      </c>
      <c r="AD87">
        <v>2.4446084731498501E-2</v>
      </c>
      <c r="AE87">
        <v>262.59999694824199</v>
      </c>
      <c r="AF87">
        <v>179.14999389648401</v>
      </c>
      <c r="AG87">
        <v>179.83000183105401</v>
      </c>
      <c r="AH87">
        <v>175.89999389648401</v>
      </c>
      <c r="AI87">
        <v>177.71000671386699</v>
      </c>
      <c r="AJ87">
        <v>168.943588256835</v>
      </c>
      <c r="AK87">
        <v>5175400</v>
      </c>
      <c r="AL87">
        <v>0.1</v>
      </c>
      <c r="AM87">
        <v>-1.01375373352899E-2</v>
      </c>
      <c r="AN87">
        <v>1.0610387281229299E-2</v>
      </c>
      <c r="AO87">
        <v>178.466999816894</v>
      </c>
      <c r="AP87">
        <v>63.419998168945298</v>
      </c>
      <c r="AQ87">
        <v>63.680000305175703</v>
      </c>
      <c r="AR87">
        <v>62.130001068115199</v>
      </c>
      <c r="AS87">
        <v>63.069999694824197</v>
      </c>
      <c r="AT87">
        <v>59.363883972167898</v>
      </c>
      <c r="AU87">
        <v>15408300</v>
      </c>
      <c r="AV87">
        <v>0.1</v>
      </c>
      <c r="AW87">
        <v>-4.8911544346276203E-3</v>
      </c>
      <c r="AX87">
        <v>2.1511548139174601E-2</v>
      </c>
      <c r="AY87">
        <v>62.856000137329097</v>
      </c>
      <c r="AZ87">
        <v>1.1100000143051101</v>
      </c>
      <c r="BA87">
        <v>1.1100000143051101</v>
      </c>
      <c r="BB87">
        <v>1.09800004959106</v>
      </c>
      <c r="BC87">
        <v>1.10300004482269</v>
      </c>
      <c r="BD87">
        <v>1.10300004482269</v>
      </c>
      <c r="BE87">
        <v>0</v>
      </c>
      <c r="BF87">
        <v>0.5</v>
      </c>
      <c r="BG87">
        <v>7.0873859670523995E-2</v>
      </c>
      <c r="BH87">
        <v>4.0269103068986602E-2</v>
      </c>
      <c r="BI87">
        <v>1.02479999065399</v>
      </c>
      <c r="BJ87">
        <f t="shared" si="1"/>
        <v>3.4163306068444879E-2</v>
      </c>
    </row>
    <row r="88" spans="1:62">
      <c r="A88" s="2">
        <v>44714</v>
      </c>
      <c r="B88">
        <v>147.83000183105401</v>
      </c>
      <c r="C88">
        <v>151.27000427246</v>
      </c>
      <c r="D88">
        <v>146.86000061035099</v>
      </c>
      <c r="E88">
        <v>151.21000671386699</v>
      </c>
      <c r="F88">
        <v>149.72119140625</v>
      </c>
      <c r="G88">
        <v>72348100</v>
      </c>
      <c r="H88">
        <v>0.1</v>
      </c>
      <c r="I88">
        <v>1.6811242600575298E-2</v>
      </c>
      <c r="J88">
        <v>3.0430995146531099E-2</v>
      </c>
      <c r="K88">
        <v>144.111001586914</v>
      </c>
      <c r="L88">
        <v>114</v>
      </c>
      <c r="M88">
        <v>117.89949798583901</v>
      </c>
      <c r="N88">
        <v>112.94650268554599</v>
      </c>
      <c r="O88">
        <v>117.622497558593</v>
      </c>
      <c r="P88">
        <v>117.622497558593</v>
      </c>
      <c r="Q88">
        <v>37992000</v>
      </c>
      <c r="R88">
        <v>0.1</v>
      </c>
      <c r="S88">
        <v>3.27547090538002E-2</v>
      </c>
      <c r="T88">
        <v>2.6102659613259301E-2</v>
      </c>
      <c r="U88">
        <v>110.794049835205</v>
      </c>
      <c r="V88">
        <v>264.45001220703102</v>
      </c>
      <c r="W88">
        <v>274.64999389648398</v>
      </c>
      <c r="X88">
        <v>261.600006103515</v>
      </c>
      <c r="Y88">
        <v>274.579986572265</v>
      </c>
      <c r="Z88">
        <v>270.32708740234301</v>
      </c>
      <c r="AA88">
        <v>44008200</v>
      </c>
      <c r="AB88">
        <v>0.1</v>
      </c>
      <c r="AC88">
        <v>7.9288342928749405E-3</v>
      </c>
      <c r="AD88">
        <v>2.3495670019015799E-2</v>
      </c>
      <c r="AE88">
        <v>264.64999542236302</v>
      </c>
      <c r="AF88">
        <v>177.74000549316401</v>
      </c>
      <c r="AG88">
        <v>177.80999755859301</v>
      </c>
      <c r="AH88">
        <v>174.58999633789</v>
      </c>
      <c r="AI88">
        <v>177.14999389648401</v>
      </c>
      <c r="AJ88">
        <v>168.41119384765599</v>
      </c>
      <c r="AK88">
        <v>8666500</v>
      </c>
      <c r="AL88">
        <v>0.1</v>
      </c>
      <c r="AM88">
        <v>-3.1512734017533602E-3</v>
      </c>
      <c r="AN88">
        <v>1.03149026082029E-2</v>
      </c>
      <c r="AO88">
        <v>178.63199920654199</v>
      </c>
      <c r="AP88">
        <v>63.180000305175703</v>
      </c>
      <c r="AQ88">
        <v>63.740001678466797</v>
      </c>
      <c r="AR88">
        <v>62.110000610351499</v>
      </c>
      <c r="AS88">
        <v>63.7299995422363</v>
      </c>
      <c r="AT88">
        <v>59.985103607177699</v>
      </c>
      <c r="AU88">
        <v>14586000</v>
      </c>
      <c r="AV88">
        <v>0.1</v>
      </c>
      <c r="AW88">
        <v>1.0464560815056799E-2</v>
      </c>
      <c r="AX88">
        <v>2.0434798161423299E-2</v>
      </c>
      <c r="AY88">
        <v>63.109000015258701</v>
      </c>
      <c r="AZ88">
        <v>1.0829999446868801</v>
      </c>
      <c r="BA88">
        <v>1.1150000095367401</v>
      </c>
      <c r="BB88">
        <v>1.0829999446868801</v>
      </c>
      <c r="BC88">
        <v>1.1130000352859399</v>
      </c>
      <c r="BD88">
        <v>1.1130000352859399</v>
      </c>
      <c r="BE88">
        <v>0</v>
      </c>
      <c r="BF88">
        <v>0.5</v>
      </c>
      <c r="BG88">
        <v>9.0661741222905993E-3</v>
      </c>
      <c r="BH88">
        <v>3.5557535641050901E-2</v>
      </c>
      <c r="BI88">
        <v>1.0357999920845</v>
      </c>
      <c r="BJ88">
        <f t="shared" si="1"/>
        <v>1.1013894397200689E-2</v>
      </c>
    </row>
    <row r="89" spans="1:62">
      <c r="A89" s="2">
        <v>44715</v>
      </c>
      <c r="B89">
        <v>146.89999389648401</v>
      </c>
      <c r="C89">
        <v>147.97000122070301</v>
      </c>
      <c r="D89">
        <v>144.46000671386699</v>
      </c>
      <c r="E89">
        <v>145.38000488281199</v>
      </c>
      <c r="F89">
        <v>143.94860839843699</v>
      </c>
      <c r="G89">
        <v>88570300</v>
      </c>
      <c r="H89">
        <v>0.1</v>
      </c>
      <c r="I89">
        <v>-3.8555661478719E-2</v>
      </c>
      <c r="J89">
        <v>2.9116013767406201E-2</v>
      </c>
      <c r="K89">
        <v>144.91400146484301</v>
      </c>
      <c r="L89">
        <v>116.0625</v>
      </c>
      <c r="M89">
        <v>116.32150268554599</v>
      </c>
      <c r="N89">
        <v>113.518501281738</v>
      </c>
      <c r="O89">
        <v>114.54100036621</v>
      </c>
      <c r="P89">
        <v>114.54100036621</v>
      </c>
      <c r="Q89">
        <v>26136000</v>
      </c>
      <c r="R89">
        <v>0.1</v>
      </c>
      <c r="S89">
        <v>-2.6198195552239099E-2</v>
      </c>
      <c r="T89">
        <v>2.45604951692639E-2</v>
      </c>
      <c r="U89">
        <v>111.20974960327101</v>
      </c>
      <c r="V89">
        <v>270.30999755859301</v>
      </c>
      <c r="W89">
        <v>273.45001220703102</v>
      </c>
      <c r="X89">
        <v>268.41000366210898</v>
      </c>
      <c r="Y89">
        <v>270.01998901367102</v>
      </c>
      <c r="Z89">
        <v>265.83767700195301</v>
      </c>
      <c r="AA89">
        <v>28059000</v>
      </c>
      <c r="AB89">
        <v>0.1</v>
      </c>
      <c r="AC89">
        <v>-1.6607173798493899E-2</v>
      </c>
      <c r="AD89">
        <v>2.1720619525779701E-2</v>
      </c>
      <c r="AE89">
        <v>266.33799438476501</v>
      </c>
      <c r="AF89">
        <v>177.07000732421801</v>
      </c>
      <c r="AG89">
        <v>178.669998168945</v>
      </c>
      <c r="AH89">
        <v>176.14999389648401</v>
      </c>
      <c r="AI89">
        <v>176.419998168945</v>
      </c>
      <c r="AJ89">
        <v>167.71722412109301</v>
      </c>
      <c r="AK89">
        <v>4234200</v>
      </c>
      <c r="AL89">
        <v>0.1</v>
      </c>
      <c r="AM89">
        <v>-4.1207776047998898E-3</v>
      </c>
      <c r="AN89">
        <v>9.4226124203302796E-3</v>
      </c>
      <c r="AO89">
        <v>178.87999877929599</v>
      </c>
      <c r="AP89">
        <v>63.569999694824197</v>
      </c>
      <c r="AQ89">
        <v>63.630001068115199</v>
      </c>
      <c r="AR89">
        <v>62.810001373291001</v>
      </c>
      <c r="AS89">
        <v>62.970001220703097</v>
      </c>
      <c r="AT89">
        <v>59.269763946533203</v>
      </c>
      <c r="AU89">
        <v>13539900</v>
      </c>
      <c r="AV89">
        <v>0.1</v>
      </c>
      <c r="AW89">
        <v>-1.1925283649649499E-2</v>
      </c>
      <c r="AX89">
        <v>2.05262461929605E-2</v>
      </c>
      <c r="AY89">
        <v>63.406000137329102</v>
      </c>
      <c r="AZ89">
        <v>1.09800004959106</v>
      </c>
      <c r="BA89">
        <v>1.1399999856948799</v>
      </c>
      <c r="BB89">
        <v>1.09800004959106</v>
      </c>
      <c r="BC89">
        <v>1.13499999046325</v>
      </c>
      <c r="BD89">
        <v>1.13499999046325</v>
      </c>
      <c r="BE89">
        <v>0</v>
      </c>
      <c r="BF89">
        <v>0.5</v>
      </c>
      <c r="BG89">
        <v>1.97663562262646E-2</v>
      </c>
      <c r="BH89">
        <v>3.3456308724956897E-2</v>
      </c>
      <c r="BI89">
        <v>1.0492999911308201</v>
      </c>
      <c r="BJ89">
        <f t="shared" si="1"/>
        <v>1.4246890474216116E-4</v>
      </c>
    </row>
    <row r="90" spans="1:62">
      <c r="A90" s="2">
        <v>44718</v>
      </c>
      <c r="B90">
        <v>147.02999877929599</v>
      </c>
      <c r="C90">
        <v>148.57000732421801</v>
      </c>
      <c r="D90">
        <v>144.89999389648401</v>
      </c>
      <c r="E90">
        <v>146.13999938964801</v>
      </c>
      <c r="F90">
        <v>144.70112609863199</v>
      </c>
      <c r="G90">
        <v>71598400</v>
      </c>
      <c r="H90">
        <v>0.1</v>
      </c>
      <c r="I90">
        <v>5.2276412251364103E-3</v>
      </c>
      <c r="J90">
        <v>2.9142947280870499E-2</v>
      </c>
      <c r="K90">
        <v>145.769001770019</v>
      </c>
      <c r="L90">
        <v>116.704498291015</v>
      </c>
      <c r="M90">
        <v>119.34700012207</v>
      </c>
      <c r="N90">
        <v>116.164001464843</v>
      </c>
      <c r="O90">
        <v>116.820503234863</v>
      </c>
      <c r="P90">
        <v>116.820503234863</v>
      </c>
      <c r="Q90">
        <v>33542000</v>
      </c>
      <c r="R90">
        <v>0.1</v>
      </c>
      <c r="S90">
        <v>1.99011957409513E-2</v>
      </c>
      <c r="T90">
        <v>2.4931035504433201E-2</v>
      </c>
      <c r="U90">
        <v>112.001000213623</v>
      </c>
      <c r="V90">
        <v>272.05999755859301</v>
      </c>
      <c r="W90">
        <v>274.17999267578102</v>
      </c>
      <c r="X90">
        <v>267.22000122070301</v>
      </c>
      <c r="Y90">
        <v>268.75</v>
      </c>
      <c r="Z90">
        <v>264.58737182617102</v>
      </c>
      <c r="AA90">
        <v>22400300</v>
      </c>
      <c r="AB90">
        <v>0.1</v>
      </c>
      <c r="AC90">
        <v>-4.70331481128816E-3</v>
      </c>
      <c r="AD90">
        <v>2.1650612946391201E-2</v>
      </c>
      <c r="AE90">
        <v>267.95699462890599</v>
      </c>
      <c r="AF90">
        <v>177.21000671386699</v>
      </c>
      <c r="AG90">
        <v>178.5</v>
      </c>
      <c r="AH90">
        <v>176</v>
      </c>
      <c r="AI90">
        <v>176.39999389648401</v>
      </c>
      <c r="AJ90">
        <v>167.69819641113199</v>
      </c>
      <c r="AK90">
        <v>5386500</v>
      </c>
      <c r="AL90">
        <v>0.1</v>
      </c>
      <c r="AM90">
        <v>-1.13390050269557E-4</v>
      </c>
      <c r="AN90">
        <v>9.4090636789243495E-3</v>
      </c>
      <c r="AO90">
        <v>178.82199859619101</v>
      </c>
      <c r="AP90">
        <v>63.330001831054602</v>
      </c>
      <c r="AQ90">
        <v>63.770000457763601</v>
      </c>
      <c r="AR90">
        <v>62.659999847412102</v>
      </c>
      <c r="AS90">
        <v>62.869998931884702</v>
      </c>
      <c r="AT90">
        <v>59.175640106201101</v>
      </c>
      <c r="AU90">
        <v>15112800</v>
      </c>
      <c r="AV90">
        <v>0.1</v>
      </c>
      <c r="AW90">
        <v>-1.58809412227678E-3</v>
      </c>
      <c r="AX90">
        <v>2.0498221393292899E-2</v>
      </c>
      <c r="AY90">
        <v>63.5950000762939</v>
      </c>
      <c r="AZ90">
        <v>1.1280000209808301</v>
      </c>
      <c r="BA90">
        <v>1.1729999780654901</v>
      </c>
      <c r="BB90">
        <v>1.1280000209808301</v>
      </c>
      <c r="BC90">
        <v>1.15999996662139</v>
      </c>
      <c r="BD90">
        <v>1.15999996662139</v>
      </c>
      <c r="BE90">
        <v>0</v>
      </c>
      <c r="BF90">
        <v>0.5</v>
      </c>
      <c r="BG90">
        <v>2.2026410897094399E-2</v>
      </c>
      <c r="BH90">
        <v>3.3460101632417097E-2</v>
      </c>
      <c r="BI90">
        <v>1.0674999892711601</v>
      </c>
      <c r="BJ90">
        <f t="shared" si="1"/>
        <v>1.288560924677252E-2</v>
      </c>
    </row>
    <row r="91" spans="1:62">
      <c r="A91" s="2">
        <v>44719</v>
      </c>
      <c r="B91">
        <v>144.350006103515</v>
      </c>
      <c r="C91">
        <v>149</v>
      </c>
      <c r="D91">
        <v>144.100006103515</v>
      </c>
      <c r="E91">
        <v>148.71000671386699</v>
      </c>
      <c r="F91">
        <v>147.24580383300699</v>
      </c>
      <c r="G91">
        <v>67808200</v>
      </c>
      <c r="H91">
        <v>0.1</v>
      </c>
      <c r="I91">
        <v>1.7585926747997398E-2</v>
      </c>
      <c r="J91">
        <v>2.8605101555312401E-2</v>
      </c>
      <c r="K91">
        <v>146.32900238037101</v>
      </c>
      <c r="L91">
        <v>115.480499267578</v>
      </c>
      <c r="M91">
        <v>117.69100189208901</v>
      </c>
      <c r="N91">
        <v>115.052001953125</v>
      </c>
      <c r="O91">
        <v>117.14949798583901</v>
      </c>
      <c r="P91">
        <v>117.14949798583901</v>
      </c>
      <c r="Q91">
        <v>31590000</v>
      </c>
      <c r="R91">
        <v>0.1</v>
      </c>
      <c r="S91">
        <v>2.8162415146861701E-3</v>
      </c>
      <c r="T91">
        <v>2.3997920417577399E-2</v>
      </c>
      <c r="U91">
        <v>112.567150115966</v>
      </c>
      <c r="V91">
        <v>266.64001464843699</v>
      </c>
      <c r="W91">
        <v>273.13000488281199</v>
      </c>
      <c r="X91">
        <v>265.94000244140602</v>
      </c>
      <c r="Y91">
        <v>272.5</v>
      </c>
      <c r="Z91">
        <v>268.27935791015602</v>
      </c>
      <c r="AA91">
        <v>22860700</v>
      </c>
      <c r="AB91">
        <v>0.1</v>
      </c>
      <c r="AC91">
        <v>1.3953488372093001E-2</v>
      </c>
      <c r="AD91">
        <v>2.01252847790424E-2</v>
      </c>
      <c r="AE91">
        <v>269.14199523925703</v>
      </c>
      <c r="AF91">
        <v>176.97999572753901</v>
      </c>
      <c r="AG91">
        <v>179.30000305175699</v>
      </c>
      <c r="AH91">
        <v>176.39999389648401</v>
      </c>
      <c r="AI91">
        <v>178.33999633789</v>
      </c>
      <c r="AJ91">
        <v>169.54252624511699</v>
      </c>
      <c r="AK91">
        <v>5447800</v>
      </c>
      <c r="AL91">
        <v>0.1</v>
      </c>
      <c r="AM91">
        <v>1.09977466470021E-2</v>
      </c>
      <c r="AN91">
        <v>9.6553711427569706E-3</v>
      </c>
      <c r="AO91">
        <v>178.71199798583899</v>
      </c>
      <c r="AP91">
        <v>62.380001068115199</v>
      </c>
      <c r="AQ91">
        <v>63.369998931884702</v>
      </c>
      <c r="AR91">
        <v>62.220001220703097</v>
      </c>
      <c r="AS91">
        <v>63.25</v>
      </c>
      <c r="AT91">
        <v>59.533302307128899</v>
      </c>
      <c r="AU91">
        <v>17886300</v>
      </c>
      <c r="AV91">
        <v>0.1</v>
      </c>
      <c r="AW91">
        <v>6.0442353200440497E-3</v>
      </c>
      <c r="AX91">
        <v>2.0561729473303099E-2</v>
      </c>
      <c r="AY91">
        <v>63.6340000152587</v>
      </c>
      <c r="AZ91">
        <v>1.2250000238418499</v>
      </c>
      <c r="BA91">
        <v>1.22800004482269</v>
      </c>
      <c r="BB91">
        <v>1.22300004959106</v>
      </c>
      <c r="BC91">
        <v>1.2250000238418499</v>
      </c>
      <c r="BD91">
        <v>1.2250000238418499</v>
      </c>
      <c r="BE91">
        <v>0</v>
      </c>
      <c r="BF91">
        <v>0.5</v>
      </c>
      <c r="BG91">
        <v>5.6034533698976902E-2</v>
      </c>
      <c r="BH91">
        <v>3.3299538687346003E-2</v>
      </c>
      <c r="BI91">
        <v>1.0906999945640501</v>
      </c>
      <c r="BJ91">
        <f t="shared" si="1"/>
        <v>3.3157030709670722E-2</v>
      </c>
    </row>
    <row r="92" spans="1:62">
      <c r="A92" s="2">
        <v>44720</v>
      </c>
      <c r="B92">
        <v>148.58000183105401</v>
      </c>
      <c r="C92">
        <v>149.86999511718699</v>
      </c>
      <c r="D92">
        <v>147.46000671386699</v>
      </c>
      <c r="E92">
        <v>147.96000671386699</v>
      </c>
      <c r="F92">
        <v>146.50321960449199</v>
      </c>
      <c r="G92">
        <v>53950200</v>
      </c>
      <c r="H92">
        <v>0.1</v>
      </c>
      <c r="I92">
        <v>-5.0433727801726296E-3</v>
      </c>
      <c r="J92">
        <v>2.8339796129848799E-2</v>
      </c>
      <c r="K92">
        <v>147.08900299072201</v>
      </c>
      <c r="L92">
        <v>116.761497497558</v>
      </c>
      <c r="M92">
        <v>118.570503234863</v>
      </c>
      <c r="N92">
        <v>116.59999847412099</v>
      </c>
      <c r="O92">
        <v>117.19400024414</v>
      </c>
      <c r="P92">
        <v>117.19400024414</v>
      </c>
      <c r="Q92">
        <v>26108000</v>
      </c>
      <c r="R92">
        <v>0.1</v>
      </c>
      <c r="S92">
        <v>3.7987579175258098E-4</v>
      </c>
      <c r="T92">
        <v>2.3757151380110302E-2</v>
      </c>
      <c r="U92">
        <v>113.68955001831</v>
      </c>
      <c r="V92">
        <v>271.70999145507801</v>
      </c>
      <c r="W92">
        <v>273</v>
      </c>
      <c r="X92">
        <v>269.60998535156199</v>
      </c>
      <c r="Y92">
        <v>270.41000366210898</v>
      </c>
      <c r="Z92">
        <v>266.22171020507801</v>
      </c>
      <c r="AA92">
        <v>17372300</v>
      </c>
      <c r="AB92">
        <v>0.1</v>
      </c>
      <c r="AC92">
        <v>-7.6697113317086797E-3</v>
      </c>
      <c r="AD92">
        <v>1.9817281570974201E-2</v>
      </c>
      <c r="AE92">
        <v>270.22099609374999</v>
      </c>
      <c r="AF92">
        <v>178.100006103515</v>
      </c>
      <c r="AG92">
        <v>179.44999694824199</v>
      </c>
      <c r="AH92">
        <v>176.80000305175699</v>
      </c>
      <c r="AI92">
        <v>177.27999877929599</v>
      </c>
      <c r="AJ92">
        <v>168.53477478027301</v>
      </c>
      <c r="AK92">
        <v>4333100</v>
      </c>
      <c r="AL92">
        <v>0.1</v>
      </c>
      <c r="AM92">
        <v>-5.9436894715722E-3</v>
      </c>
      <c r="AN92">
        <v>9.7515273592028405E-3</v>
      </c>
      <c r="AO92">
        <v>178.299998474121</v>
      </c>
      <c r="AP92">
        <v>62.990001678466797</v>
      </c>
      <c r="AQ92">
        <v>63.209999084472599</v>
      </c>
      <c r="AR92">
        <v>62.560001373291001</v>
      </c>
      <c r="AS92">
        <v>62.889999389648402</v>
      </c>
      <c r="AT92">
        <v>59.1944580078125</v>
      </c>
      <c r="AU92">
        <v>10211500</v>
      </c>
      <c r="AV92">
        <v>0.1</v>
      </c>
      <c r="AW92">
        <v>-5.6917092545701797E-3</v>
      </c>
      <c r="AX92">
        <v>2.0499784994408601E-2</v>
      </c>
      <c r="AY92">
        <v>63.521000289916898</v>
      </c>
      <c r="AZ92">
        <v>1.2300000190734801</v>
      </c>
      <c r="BA92">
        <v>1.24500000476837</v>
      </c>
      <c r="BB92">
        <v>1.2150000333786</v>
      </c>
      <c r="BC92">
        <v>1.23300004005432</v>
      </c>
      <c r="BD92">
        <v>1.23300004005432</v>
      </c>
      <c r="BE92">
        <v>0</v>
      </c>
      <c r="BF92">
        <v>0.5</v>
      </c>
      <c r="BG92">
        <v>6.5306253524579604E-3</v>
      </c>
      <c r="BH92">
        <v>2.82857333962157E-2</v>
      </c>
      <c r="BI92">
        <v>1.1097000002860999</v>
      </c>
      <c r="BJ92">
        <f t="shared" si="1"/>
        <v>8.6845197160186917E-4</v>
      </c>
    </row>
    <row r="93" spans="1:62">
      <c r="A93" s="2">
        <v>44721</v>
      </c>
      <c r="B93">
        <v>147.08000183105401</v>
      </c>
      <c r="C93">
        <v>147.94999694824199</v>
      </c>
      <c r="D93">
        <v>142.52999877929599</v>
      </c>
      <c r="E93">
        <v>142.63999938964801</v>
      </c>
      <c r="F93">
        <v>141.235580444335</v>
      </c>
      <c r="G93">
        <v>69473000</v>
      </c>
      <c r="H93">
        <v>0.1</v>
      </c>
      <c r="I93">
        <v>-3.59557115626985E-2</v>
      </c>
      <c r="J93">
        <v>2.70564032664081E-2</v>
      </c>
      <c r="K93">
        <v>147.30100250244101</v>
      </c>
      <c r="L93">
        <v>116.327499389648</v>
      </c>
      <c r="M93">
        <v>118.29900360107401</v>
      </c>
      <c r="N93">
        <v>114.776000976562</v>
      </c>
      <c r="O93">
        <v>114.83550262451099</v>
      </c>
      <c r="P93">
        <v>114.83550262451099</v>
      </c>
      <c r="Q93">
        <v>25798000</v>
      </c>
      <c r="R93">
        <v>0.1</v>
      </c>
      <c r="S93">
        <v>-2.01247300605461E-2</v>
      </c>
      <c r="T93">
        <v>2.4182393744968E-2</v>
      </c>
      <c r="U93">
        <v>114.592600250244</v>
      </c>
      <c r="V93">
        <v>267.77999877929602</v>
      </c>
      <c r="W93">
        <v>272.70999145507801</v>
      </c>
      <c r="X93">
        <v>264.63000488281199</v>
      </c>
      <c r="Y93">
        <v>264.79000854492102</v>
      </c>
      <c r="Z93">
        <v>260.68875122070301</v>
      </c>
      <c r="AA93">
        <v>26439700</v>
      </c>
      <c r="AB93">
        <v>0.1</v>
      </c>
      <c r="AC93">
        <v>-2.07832367186013E-2</v>
      </c>
      <c r="AD93">
        <v>1.8882245754294501E-2</v>
      </c>
      <c r="AE93">
        <v>270.447998046875</v>
      </c>
      <c r="AF93">
        <v>177.21000671386699</v>
      </c>
      <c r="AG93">
        <v>178.64999389648401</v>
      </c>
      <c r="AH93">
        <v>173.63999938964801</v>
      </c>
      <c r="AI93">
        <v>173.71000671386699</v>
      </c>
      <c r="AJ93">
        <v>165.14089965820301</v>
      </c>
      <c r="AK93">
        <v>5509600</v>
      </c>
      <c r="AL93">
        <v>0.1</v>
      </c>
      <c r="AM93">
        <v>-2.0137590760444999E-2</v>
      </c>
      <c r="AN93">
        <v>1.0699156994806501E-2</v>
      </c>
      <c r="AO93">
        <v>177.70899963378901</v>
      </c>
      <c r="AP93">
        <v>62.869998931884702</v>
      </c>
      <c r="AQ93">
        <v>63.349998474121001</v>
      </c>
      <c r="AR93">
        <v>61.779998779296797</v>
      </c>
      <c r="AS93">
        <v>61.799999237060497</v>
      </c>
      <c r="AT93">
        <v>58.168514251708899</v>
      </c>
      <c r="AU93">
        <v>13382200</v>
      </c>
      <c r="AV93">
        <v>0.1</v>
      </c>
      <c r="AW93">
        <v>-1.7331851855086899E-2</v>
      </c>
      <c r="AX93">
        <v>2.07858028576938E-2</v>
      </c>
      <c r="AY93">
        <v>63.294000244140598</v>
      </c>
      <c r="AZ93">
        <v>1.2400000095367401</v>
      </c>
      <c r="BA93">
        <v>1.2430000305175699</v>
      </c>
      <c r="BB93">
        <v>1.21800005435943</v>
      </c>
      <c r="BC93">
        <v>1.2380000352859399</v>
      </c>
      <c r="BD93">
        <v>1.2380000352859399</v>
      </c>
      <c r="BE93">
        <v>0</v>
      </c>
      <c r="BF93">
        <v>0.5</v>
      </c>
      <c r="BG93">
        <v>4.0551460415265599E-3</v>
      </c>
      <c r="BH93">
        <v>2.8324085053613599E-2</v>
      </c>
      <c r="BI93">
        <v>1.1290000081062299</v>
      </c>
      <c r="BJ93">
        <f t="shared" si="1"/>
        <v>-9.4057390749745003E-3</v>
      </c>
    </row>
    <row r="94" spans="1:62">
      <c r="A94" s="2">
        <v>44722</v>
      </c>
      <c r="B94">
        <v>140.27999877929599</v>
      </c>
      <c r="C94">
        <v>140.759994506835</v>
      </c>
      <c r="D94">
        <v>137.05999755859301</v>
      </c>
      <c r="E94">
        <v>137.13000488281199</v>
      </c>
      <c r="F94">
        <v>135.77981567382801</v>
      </c>
      <c r="G94">
        <v>91437900</v>
      </c>
      <c r="H94">
        <v>0.1</v>
      </c>
      <c r="I94">
        <v>-3.8628677302390703E-2</v>
      </c>
      <c r="J94">
        <v>2.77657637657494E-2</v>
      </c>
      <c r="K94">
        <v>146.636003112792</v>
      </c>
      <c r="L94">
        <v>112.44499969482401</v>
      </c>
      <c r="M94">
        <v>113.278999328613</v>
      </c>
      <c r="N94">
        <v>110.365997314453</v>
      </c>
      <c r="O94">
        <v>111.161499023437</v>
      </c>
      <c r="P94">
        <v>111.161499023437</v>
      </c>
      <c r="Q94">
        <v>41452000</v>
      </c>
      <c r="R94">
        <v>0.1</v>
      </c>
      <c r="S94">
        <v>-3.1993621459449201E-2</v>
      </c>
      <c r="T94">
        <v>2.5235107396279599E-2</v>
      </c>
      <c r="U94">
        <v>114.92949981689399</v>
      </c>
      <c r="V94">
        <v>260.579986572265</v>
      </c>
      <c r="W94">
        <v>260.579986572265</v>
      </c>
      <c r="X94">
        <v>252.52999877929599</v>
      </c>
      <c r="Y94">
        <v>252.99000549316401</v>
      </c>
      <c r="Z94">
        <v>249.071533203125</v>
      </c>
      <c r="AA94">
        <v>31422800</v>
      </c>
      <c r="AB94">
        <v>0.1</v>
      </c>
      <c r="AC94">
        <v>-4.4563626537879403E-2</v>
      </c>
      <c r="AD94">
        <v>2.1000880707444099E-2</v>
      </c>
      <c r="AE94">
        <v>269.15699920654299</v>
      </c>
      <c r="AF94">
        <v>172.169998168945</v>
      </c>
      <c r="AG94">
        <v>173.97000122070301</v>
      </c>
      <c r="AH94">
        <v>170.61999511718699</v>
      </c>
      <c r="AI94">
        <v>172.55000305175699</v>
      </c>
      <c r="AJ94">
        <v>164.03813171386699</v>
      </c>
      <c r="AK94">
        <v>6647300</v>
      </c>
      <c r="AL94">
        <v>0.1</v>
      </c>
      <c r="AM94">
        <v>-6.6778171508571297E-3</v>
      </c>
      <c r="AN94">
        <v>1.04809682477902E-2</v>
      </c>
      <c r="AO94">
        <v>177.01799926757801</v>
      </c>
      <c r="AP94">
        <v>61.009998321533203</v>
      </c>
      <c r="AQ94">
        <v>61.889999389648402</v>
      </c>
      <c r="AR94">
        <v>60.459999084472599</v>
      </c>
      <c r="AS94">
        <v>61.409999847412102</v>
      </c>
      <c r="AT94">
        <v>57.801429748535099</v>
      </c>
      <c r="AU94">
        <v>14967600</v>
      </c>
      <c r="AV94">
        <v>0.1</v>
      </c>
      <c r="AW94">
        <v>-6.3106698133187297E-3</v>
      </c>
      <c r="AX94">
        <v>2.0775938446121099E-2</v>
      </c>
      <c r="AY94">
        <v>63.004999923706002</v>
      </c>
      <c r="AZ94">
        <v>1.2430000305175699</v>
      </c>
      <c r="BA94">
        <v>1.2879999876022299</v>
      </c>
      <c r="BB94">
        <v>1.2250000238418499</v>
      </c>
      <c r="BC94">
        <v>1.2879999876022299</v>
      </c>
      <c r="BD94">
        <v>1.2879999876022299</v>
      </c>
      <c r="BE94">
        <v>0</v>
      </c>
      <c r="BF94">
        <v>0.5</v>
      </c>
      <c r="BG94">
        <v>4.0387682464593198E-2</v>
      </c>
      <c r="BH94">
        <v>2.8747903643037101E-2</v>
      </c>
      <c r="BI94">
        <v>1.1550000071525499</v>
      </c>
      <c r="BJ94">
        <f t="shared" si="1"/>
        <v>7.376400005907083E-3</v>
      </c>
    </row>
    <row r="95" spans="1:62">
      <c r="A95" s="2">
        <v>44725</v>
      </c>
      <c r="B95">
        <v>132.86999511718699</v>
      </c>
      <c r="C95">
        <v>135.19999694824199</v>
      </c>
      <c r="D95">
        <v>131.44000244140599</v>
      </c>
      <c r="E95">
        <v>131.88000488281199</v>
      </c>
      <c r="F95">
        <v>130.58152770996</v>
      </c>
      <c r="G95">
        <v>122207100</v>
      </c>
      <c r="H95">
        <v>0.1</v>
      </c>
      <c r="I95">
        <v>-3.8284837840460197E-2</v>
      </c>
      <c r="J95">
        <v>2.7746850543636199E-2</v>
      </c>
      <c r="K95">
        <v>144.86000366210899</v>
      </c>
      <c r="L95">
        <v>106.786499023437</v>
      </c>
      <c r="M95">
        <v>108.791496276855</v>
      </c>
      <c r="N95">
        <v>106.119003295898</v>
      </c>
      <c r="O95">
        <v>106.39250183105401</v>
      </c>
      <c r="P95">
        <v>106.39250183105401</v>
      </c>
      <c r="Q95">
        <v>47252000</v>
      </c>
      <c r="R95">
        <v>0.1</v>
      </c>
      <c r="S95">
        <v>-4.2901519269520599E-2</v>
      </c>
      <c r="T95">
        <v>2.5970077319119898E-2</v>
      </c>
      <c r="U95">
        <v>114.337100219726</v>
      </c>
      <c r="V95">
        <v>245.11000061035099</v>
      </c>
      <c r="W95">
        <v>249.02000427246</v>
      </c>
      <c r="X95">
        <v>241.52999877929599</v>
      </c>
      <c r="Y95">
        <v>242.259994506835</v>
      </c>
      <c r="Z95">
        <v>238.50767517089801</v>
      </c>
      <c r="AA95">
        <v>46135800</v>
      </c>
      <c r="AB95">
        <v>0.1</v>
      </c>
      <c r="AC95">
        <v>-4.2412786091733802E-2</v>
      </c>
      <c r="AD95">
        <v>2.22708491922879E-2</v>
      </c>
      <c r="AE95">
        <v>266.05899963378903</v>
      </c>
      <c r="AF95">
        <v>170.08000183105401</v>
      </c>
      <c r="AG95">
        <v>172.25</v>
      </c>
      <c r="AH95">
        <v>170.08000183105401</v>
      </c>
      <c r="AI95">
        <v>170.80999755859301</v>
      </c>
      <c r="AJ95">
        <v>162.38397216796801</v>
      </c>
      <c r="AK95">
        <v>7997000</v>
      </c>
      <c r="AL95">
        <v>0.1</v>
      </c>
      <c r="AM95">
        <v>-1.00840652702981E-2</v>
      </c>
      <c r="AN95">
        <v>1.0618449500056601E-2</v>
      </c>
      <c r="AO95">
        <v>175.98999938964801</v>
      </c>
      <c r="AP95">
        <v>60.75</v>
      </c>
      <c r="AQ95">
        <v>62.290000915527301</v>
      </c>
      <c r="AR95">
        <v>60.669998168945298</v>
      </c>
      <c r="AS95">
        <v>61.340000152587798</v>
      </c>
      <c r="AT95">
        <v>57.735549926757798</v>
      </c>
      <c r="AU95">
        <v>23064200</v>
      </c>
      <c r="AV95">
        <v>0.1</v>
      </c>
      <c r="AW95">
        <v>-1.1398745318050799E-3</v>
      </c>
      <c r="AX95">
        <v>2.0185111249738898E-2</v>
      </c>
      <c r="AY95">
        <v>62.6709999084472</v>
      </c>
      <c r="AZ95">
        <v>1.33500003814697</v>
      </c>
      <c r="BA95">
        <v>1.5</v>
      </c>
      <c r="BB95">
        <v>1.33500003814697</v>
      </c>
      <c r="BC95">
        <v>1.4980000257492001</v>
      </c>
      <c r="BD95">
        <v>1.4980000257492001</v>
      </c>
      <c r="BE95">
        <v>0</v>
      </c>
      <c r="BF95">
        <v>0.5</v>
      </c>
      <c r="BG95">
        <v>0.163043509447475</v>
      </c>
      <c r="BH95">
        <v>4.31561226143648E-2</v>
      </c>
      <c r="BI95">
        <v>1.20230001211166</v>
      </c>
      <c r="BJ95">
        <f t="shared" si="1"/>
        <v>6.8039446423355729E-2</v>
      </c>
    </row>
    <row r="96" spans="1:62">
      <c r="A96" s="2">
        <v>44726</v>
      </c>
      <c r="B96">
        <v>133.13000488281199</v>
      </c>
      <c r="C96">
        <v>133.88999938964801</v>
      </c>
      <c r="D96">
        <v>131.47999572753901</v>
      </c>
      <c r="E96">
        <v>132.759994506835</v>
      </c>
      <c r="F96">
        <v>131.45285034179599</v>
      </c>
      <c r="G96">
        <v>84784300</v>
      </c>
      <c r="H96">
        <v>0.1</v>
      </c>
      <c r="I96">
        <v>6.6726538629218101E-3</v>
      </c>
      <c r="J96">
        <v>2.78338310257259E-2</v>
      </c>
      <c r="K96">
        <v>143.25200347900301</v>
      </c>
      <c r="L96">
        <v>106.53500366210901</v>
      </c>
      <c r="M96">
        <v>107.924499511718</v>
      </c>
      <c r="N96">
        <v>105.800003051757</v>
      </c>
      <c r="O96">
        <v>106.71549987792901</v>
      </c>
      <c r="P96">
        <v>106.71549987792901</v>
      </c>
      <c r="Q96">
        <v>33706000</v>
      </c>
      <c r="R96">
        <v>0.1</v>
      </c>
      <c r="S96">
        <v>3.0359098744374702E-3</v>
      </c>
      <c r="T96">
        <v>2.5908180464383299E-2</v>
      </c>
      <c r="U96">
        <v>113.632450103759</v>
      </c>
      <c r="V96">
        <v>243.86000061035099</v>
      </c>
      <c r="W96">
        <v>245.74000549316401</v>
      </c>
      <c r="X96">
        <v>241.509994506835</v>
      </c>
      <c r="Y96">
        <v>244.49000549316401</v>
      </c>
      <c r="Z96">
        <v>240.70317077636699</v>
      </c>
      <c r="AA96">
        <v>28651500</v>
      </c>
      <c r="AB96">
        <v>0.1</v>
      </c>
      <c r="AC96">
        <v>9.2050319363199407E-3</v>
      </c>
      <c r="AD96">
        <v>2.24285158228891E-2</v>
      </c>
      <c r="AE96">
        <v>263.321000671386</v>
      </c>
      <c r="AF96">
        <v>171.05999755859301</v>
      </c>
      <c r="AG96">
        <v>171.11000061035099</v>
      </c>
      <c r="AH96">
        <v>167.259994506835</v>
      </c>
      <c r="AI96">
        <v>168.19000244140599</v>
      </c>
      <c r="AJ96">
        <v>159.89321899414</v>
      </c>
      <c r="AK96">
        <v>7116800</v>
      </c>
      <c r="AL96">
        <v>0.1</v>
      </c>
      <c r="AM96">
        <v>-1.5338652038143901E-2</v>
      </c>
      <c r="AN96">
        <v>1.08320083541246E-2</v>
      </c>
      <c r="AO96">
        <v>174.85599975585899</v>
      </c>
      <c r="AP96">
        <v>60.7299995422363</v>
      </c>
      <c r="AQ96">
        <v>60.889999389648402</v>
      </c>
      <c r="AR96">
        <v>58.659999847412102</v>
      </c>
      <c r="AS96">
        <v>59.2299995422363</v>
      </c>
      <c r="AT96">
        <v>56.152313232421797</v>
      </c>
      <c r="AU96">
        <v>24620000</v>
      </c>
      <c r="AV96">
        <v>0.1</v>
      </c>
      <c r="AW96">
        <v>-3.4398444817456401E-2</v>
      </c>
      <c r="AX96">
        <v>2.12652209322538E-2</v>
      </c>
      <c r="AY96">
        <v>62.2559997558593</v>
      </c>
      <c r="AZ96">
        <v>1.70500004291534</v>
      </c>
      <c r="BA96">
        <v>1.7430000305175699</v>
      </c>
      <c r="BB96">
        <v>1.70000004768371</v>
      </c>
      <c r="BC96">
        <v>1.7430000305175699</v>
      </c>
      <c r="BD96">
        <v>1.7430000305175699</v>
      </c>
      <c r="BE96">
        <v>0</v>
      </c>
      <c r="BF96">
        <v>0.5</v>
      </c>
      <c r="BG96">
        <v>0.16355140224102299</v>
      </c>
      <c r="BH96">
        <v>5.3210953178640802E-2</v>
      </c>
      <c r="BI96">
        <v>1.27360001802444</v>
      </c>
      <c r="BJ96">
        <f t="shared" si="1"/>
        <v>7.8693351002319376E-2</v>
      </c>
    </row>
    <row r="97" spans="1:62">
      <c r="A97" s="2">
        <v>44727</v>
      </c>
      <c r="B97">
        <v>134.28999328613199</v>
      </c>
      <c r="C97">
        <v>137.33999633789</v>
      </c>
      <c r="D97">
        <v>132.16000366210901</v>
      </c>
      <c r="E97">
        <v>135.42999267578099</v>
      </c>
      <c r="F97">
        <v>134.09655761718699</v>
      </c>
      <c r="G97">
        <v>91533000</v>
      </c>
      <c r="H97">
        <v>0.1</v>
      </c>
      <c r="I97">
        <v>2.0111466401181801E-2</v>
      </c>
      <c r="J97">
        <v>2.7560180007829099E-2</v>
      </c>
      <c r="K97">
        <v>141.92400207519501</v>
      </c>
      <c r="L97">
        <v>108.544998168945</v>
      </c>
      <c r="M97">
        <v>111.423500061035</v>
      </c>
      <c r="N97">
        <v>107.6695022583</v>
      </c>
      <c r="O97">
        <v>109.764503479003</v>
      </c>
      <c r="P97">
        <v>109.764503479003</v>
      </c>
      <c r="Q97">
        <v>39698000</v>
      </c>
      <c r="R97">
        <v>0.1</v>
      </c>
      <c r="S97">
        <v>2.8571328481447701E-2</v>
      </c>
      <c r="T97">
        <v>2.6476054138082902E-2</v>
      </c>
      <c r="U97">
        <v>113.21970062255799</v>
      </c>
      <c r="V97">
        <v>248.30999755859301</v>
      </c>
      <c r="W97">
        <v>255.30000305175699</v>
      </c>
      <c r="X97">
        <v>246.419998168945</v>
      </c>
      <c r="Y97">
        <v>251.759994506835</v>
      </c>
      <c r="Z97">
        <v>247.86054992675699</v>
      </c>
      <c r="AA97">
        <v>33111700</v>
      </c>
      <c r="AB97">
        <v>0.1</v>
      </c>
      <c r="AC97">
        <v>2.97353218959093E-2</v>
      </c>
      <c r="AD97">
        <v>2.3035596288555799E-2</v>
      </c>
      <c r="AE97">
        <v>261.25499877929599</v>
      </c>
      <c r="AF97">
        <v>169.63999938964801</v>
      </c>
      <c r="AG97">
        <v>171.44000244140599</v>
      </c>
      <c r="AH97">
        <v>168.63999938964801</v>
      </c>
      <c r="AI97">
        <v>169.99000549316401</v>
      </c>
      <c r="AJ97">
        <v>161.60441589355401</v>
      </c>
      <c r="AK97">
        <v>7796100</v>
      </c>
      <c r="AL97">
        <v>0.1</v>
      </c>
      <c r="AM97">
        <v>1.07022000453618E-2</v>
      </c>
      <c r="AN97">
        <v>1.1147493022599099E-2</v>
      </c>
      <c r="AO97">
        <v>174.08399963378901</v>
      </c>
      <c r="AP97">
        <v>60</v>
      </c>
      <c r="AQ97">
        <v>60.639999389648402</v>
      </c>
      <c r="AR97">
        <v>58.970001220703097</v>
      </c>
      <c r="AS97">
        <v>59.669998168945298</v>
      </c>
      <c r="AT97">
        <v>56.569446563720703</v>
      </c>
      <c r="AU97">
        <v>19684700</v>
      </c>
      <c r="AV97">
        <v>0.1</v>
      </c>
      <c r="AW97">
        <v>7.4286447764570999E-3</v>
      </c>
      <c r="AX97">
        <v>2.1446526170047199E-2</v>
      </c>
      <c r="AY97">
        <v>61.915999603271402</v>
      </c>
      <c r="AZ97">
        <v>1.7430000305175699</v>
      </c>
      <c r="BA97">
        <v>1.7649999856948799</v>
      </c>
      <c r="BB97">
        <v>1.65999996662139</v>
      </c>
      <c r="BC97">
        <v>1.6950000524520801</v>
      </c>
      <c r="BD97">
        <v>1.6950000524520801</v>
      </c>
      <c r="BE97">
        <v>0</v>
      </c>
      <c r="BF97">
        <v>0.5</v>
      </c>
      <c r="BG97">
        <v>-2.7538713267398599E-2</v>
      </c>
      <c r="BH97">
        <v>5.4269638576680497E-2</v>
      </c>
      <c r="BI97">
        <v>1.3328000187873801</v>
      </c>
      <c r="BJ97">
        <f t="shared" si="1"/>
        <v>-4.1144604736635271E-3</v>
      </c>
    </row>
    <row r="98" spans="1:62">
      <c r="A98" s="2">
        <v>44728</v>
      </c>
      <c r="B98">
        <v>132.08000183105401</v>
      </c>
      <c r="C98">
        <v>132.38999938964801</v>
      </c>
      <c r="D98">
        <v>129.03999328613199</v>
      </c>
      <c r="E98">
        <v>130.05999755859301</v>
      </c>
      <c r="F98">
        <v>128.77944946289</v>
      </c>
      <c r="G98">
        <v>108123900</v>
      </c>
      <c r="H98">
        <v>0.1</v>
      </c>
      <c r="I98">
        <v>-3.9651446559871198E-2</v>
      </c>
      <c r="J98">
        <v>2.6114111455208401E-2</v>
      </c>
      <c r="K98">
        <v>139.80900115966699</v>
      </c>
      <c r="L98">
        <v>107.22100067138599</v>
      </c>
      <c r="M98">
        <v>108.64849853515599</v>
      </c>
      <c r="N98">
        <v>105.13800048828099</v>
      </c>
      <c r="O98">
        <v>106.03350067138599</v>
      </c>
      <c r="P98">
        <v>106.03350067138599</v>
      </c>
      <c r="Q98">
        <v>51684000</v>
      </c>
      <c r="R98">
        <v>0.1</v>
      </c>
      <c r="S98">
        <v>-3.3990977860441501E-2</v>
      </c>
      <c r="T98">
        <v>2.6115623661505199E-2</v>
      </c>
      <c r="U98">
        <v>112.060800933837</v>
      </c>
      <c r="V98">
        <v>245.97999572753901</v>
      </c>
      <c r="W98">
        <v>247.419998168945</v>
      </c>
      <c r="X98">
        <v>243.02000427246</v>
      </c>
      <c r="Y98">
        <v>244.97000122070301</v>
      </c>
      <c r="Z98">
        <v>241.17572021484301</v>
      </c>
      <c r="AA98">
        <v>33169200</v>
      </c>
      <c r="AB98">
        <v>0.1</v>
      </c>
      <c r="AC98">
        <v>-2.6970104203543101E-2</v>
      </c>
      <c r="AD98">
        <v>2.1297458984026602E-2</v>
      </c>
      <c r="AE98">
        <v>258.29400024414002</v>
      </c>
      <c r="AF98">
        <v>168.39999389648401</v>
      </c>
      <c r="AG98">
        <v>170.21000671386699</v>
      </c>
      <c r="AH98">
        <v>167.41000366210901</v>
      </c>
      <c r="AI98">
        <v>170.08000183105401</v>
      </c>
      <c r="AJ98">
        <v>161.68997192382801</v>
      </c>
      <c r="AK98">
        <v>7056700</v>
      </c>
      <c r="AL98">
        <v>0.1</v>
      </c>
      <c r="AM98">
        <v>5.2942134821121201E-4</v>
      </c>
      <c r="AN98">
        <v>1.04949426779582E-2</v>
      </c>
      <c r="AO98">
        <v>173.377000427246</v>
      </c>
      <c r="AP98">
        <v>58.639999389648402</v>
      </c>
      <c r="AQ98">
        <v>59.520000457763601</v>
      </c>
      <c r="AR98">
        <v>58.25</v>
      </c>
      <c r="AS98">
        <v>59.069999694824197</v>
      </c>
      <c r="AT98">
        <v>56.000625610351499</v>
      </c>
      <c r="AU98">
        <v>15053800</v>
      </c>
      <c r="AV98">
        <v>0.1</v>
      </c>
      <c r="AW98">
        <v>-1.0055278909550099E-2</v>
      </c>
      <c r="AX98">
        <v>1.51617229949124E-2</v>
      </c>
      <c r="AY98">
        <v>61.4499996185302</v>
      </c>
      <c r="AZ98">
        <v>1.5829999446868801</v>
      </c>
      <c r="BA98">
        <v>1.60300004482269</v>
      </c>
      <c r="BB98">
        <v>1.4630000591278001</v>
      </c>
      <c r="BC98">
        <v>1.48300004005432</v>
      </c>
      <c r="BD98">
        <v>1.48300004005432</v>
      </c>
      <c r="BE98">
        <v>0</v>
      </c>
      <c r="BF98">
        <v>0.5</v>
      </c>
      <c r="BG98">
        <v>-0.12507374975657001</v>
      </c>
      <c r="BH98">
        <v>6.2752711757996293E-2</v>
      </c>
      <c r="BI98">
        <v>1.3698000192642199</v>
      </c>
      <c r="BJ98">
        <f t="shared" si="1"/>
        <v>-7.3550713496804462E-2</v>
      </c>
    </row>
    <row r="99" spans="1:62">
      <c r="A99" s="2">
        <v>44729</v>
      </c>
      <c r="B99">
        <v>130.07000732421801</v>
      </c>
      <c r="C99">
        <v>133.08000183105401</v>
      </c>
      <c r="D99">
        <v>129.80999755859301</v>
      </c>
      <c r="E99">
        <v>131.55999755859301</v>
      </c>
      <c r="F99">
        <v>130.2646484375</v>
      </c>
      <c r="G99">
        <v>134520300</v>
      </c>
      <c r="H99">
        <v>0.1</v>
      </c>
      <c r="I99">
        <v>1.15331387679307E-2</v>
      </c>
      <c r="J99">
        <v>2.5834305779107499E-2</v>
      </c>
      <c r="K99">
        <v>138.42700042724601</v>
      </c>
      <c r="L99">
        <v>106.03350067138599</v>
      </c>
      <c r="M99">
        <v>108.699501037597</v>
      </c>
      <c r="N99">
        <v>105.045997619628</v>
      </c>
      <c r="O99">
        <v>107.143501281738</v>
      </c>
      <c r="P99">
        <v>107.143501281738</v>
      </c>
      <c r="Q99">
        <v>51376000</v>
      </c>
      <c r="R99">
        <v>0.1</v>
      </c>
      <c r="S99">
        <v>1.0468395396956799E-2</v>
      </c>
      <c r="T99">
        <v>2.6126518923015901E-2</v>
      </c>
      <c r="U99">
        <v>111.32105102539001</v>
      </c>
      <c r="V99">
        <v>244.69999694824199</v>
      </c>
      <c r="W99">
        <v>250.5</v>
      </c>
      <c r="X99">
        <v>244.02999877929599</v>
      </c>
      <c r="Y99">
        <v>247.64999389648401</v>
      </c>
      <c r="Z99">
        <v>243.814208984375</v>
      </c>
      <c r="AA99">
        <v>43084800</v>
      </c>
      <c r="AB99">
        <v>0.1</v>
      </c>
      <c r="AC99">
        <v>1.094008516319E-2</v>
      </c>
      <c r="AD99">
        <v>2.1472609191516102E-2</v>
      </c>
      <c r="AE99">
        <v>256.05700073242099</v>
      </c>
      <c r="AF99">
        <v>170.63000488281199</v>
      </c>
      <c r="AG99">
        <v>172.19999694824199</v>
      </c>
      <c r="AH99">
        <v>169.24000549316401</v>
      </c>
      <c r="AI99">
        <v>169.46000671386699</v>
      </c>
      <c r="AJ99">
        <v>161.10054016113199</v>
      </c>
      <c r="AK99">
        <v>12486600</v>
      </c>
      <c r="AL99">
        <v>0.1</v>
      </c>
      <c r="AM99">
        <v>-3.6453146196656601E-3</v>
      </c>
      <c r="AN99">
        <v>1.03657373864612E-2</v>
      </c>
      <c r="AO99">
        <v>172.68100128173799</v>
      </c>
      <c r="AP99">
        <v>59.700000762939403</v>
      </c>
      <c r="AQ99">
        <v>60.130001068115199</v>
      </c>
      <c r="AR99">
        <v>59.130001068115199</v>
      </c>
      <c r="AS99">
        <v>59.430000305175703</v>
      </c>
      <c r="AT99">
        <v>56.341926574707003</v>
      </c>
      <c r="AU99">
        <v>34781900</v>
      </c>
      <c r="AV99">
        <v>0.1</v>
      </c>
      <c r="AW99">
        <v>6.0944745591915402E-3</v>
      </c>
      <c r="AX99">
        <v>1.4640725224175E-2</v>
      </c>
      <c r="AY99">
        <v>61.095999526977501</v>
      </c>
      <c r="AZ99">
        <v>1.4630000591278001</v>
      </c>
      <c r="BA99">
        <v>1.51800000667572</v>
      </c>
      <c r="BB99">
        <v>1.45000004768371</v>
      </c>
      <c r="BC99">
        <v>1.50999999046325</v>
      </c>
      <c r="BD99">
        <v>1.50999999046325</v>
      </c>
      <c r="BE99">
        <v>0</v>
      </c>
      <c r="BF99">
        <v>0.5</v>
      </c>
      <c r="BG99">
        <v>1.8206304571607799E-2</v>
      </c>
      <c r="BH99">
        <v>6.2494857943740198E-2</v>
      </c>
      <c r="BI99">
        <v>1.40730001926422</v>
      </c>
      <c r="BJ99">
        <f t="shared" si="1"/>
        <v>1.2642230212564238E-2</v>
      </c>
    </row>
    <row r="100" spans="1:62">
      <c r="A100" s="2">
        <v>44733</v>
      </c>
      <c r="B100">
        <v>133.419998168945</v>
      </c>
      <c r="C100">
        <v>137.05999755859301</v>
      </c>
      <c r="D100">
        <v>133.32000732421801</v>
      </c>
      <c r="E100">
        <v>135.86999511718699</v>
      </c>
      <c r="F100">
        <v>134.53224182128901</v>
      </c>
      <c r="G100">
        <v>81000500</v>
      </c>
      <c r="H100">
        <v>0.1</v>
      </c>
      <c r="I100">
        <v>3.2760699593918398E-2</v>
      </c>
      <c r="J100">
        <v>2.69664510823815E-2</v>
      </c>
      <c r="K100">
        <v>137.4</v>
      </c>
      <c r="L100">
        <v>108.92949676513599</v>
      </c>
      <c r="M100">
        <v>112.489501953125</v>
      </c>
      <c r="N100">
        <v>108.59999847412099</v>
      </c>
      <c r="O100">
        <v>111.54399871826099</v>
      </c>
      <c r="P100">
        <v>111.54399871826099</v>
      </c>
      <c r="Q100">
        <v>47416000</v>
      </c>
      <c r="R100">
        <v>0.1</v>
      </c>
      <c r="S100">
        <v>4.1071062489848403E-2</v>
      </c>
      <c r="T100">
        <v>2.7583085079582299E-2</v>
      </c>
      <c r="U100">
        <v>110.79340057373</v>
      </c>
      <c r="V100">
        <v>250.259994506835</v>
      </c>
      <c r="W100">
        <v>254.75</v>
      </c>
      <c r="X100">
        <v>249.509994506835</v>
      </c>
      <c r="Y100">
        <v>253.74000549316401</v>
      </c>
      <c r="Z100">
        <v>249.80989074707</v>
      </c>
      <c r="AA100">
        <v>29928300</v>
      </c>
      <c r="AB100">
        <v>0.1</v>
      </c>
      <c r="AC100">
        <v>2.4591204307581101E-2</v>
      </c>
      <c r="AD100">
        <v>2.2208073828698702E-2</v>
      </c>
      <c r="AE100">
        <v>254.55600128173799</v>
      </c>
      <c r="AF100">
        <v>170.75</v>
      </c>
      <c r="AG100">
        <v>173.86000061035099</v>
      </c>
      <c r="AH100">
        <v>169.55999755859301</v>
      </c>
      <c r="AI100">
        <v>173.009994506835</v>
      </c>
      <c r="AJ100">
        <v>164.47544860839801</v>
      </c>
      <c r="AK100">
        <v>8219700</v>
      </c>
      <c r="AL100">
        <v>0.1</v>
      </c>
      <c r="AM100">
        <v>2.0948823629889798E-2</v>
      </c>
      <c r="AN100">
        <v>1.07189362274402E-2</v>
      </c>
      <c r="AO100">
        <v>172.34200134277299</v>
      </c>
      <c r="AP100">
        <v>59.490001678466797</v>
      </c>
      <c r="AQ100">
        <v>60.880001068115199</v>
      </c>
      <c r="AR100">
        <v>59.009998321533203</v>
      </c>
      <c r="AS100">
        <v>60.700000762939403</v>
      </c>
      <c r="AT100">
        <v>57.545936584472599</v>
      </c>
      <c r="AU100">
        <v>17705000</v>
      </c>
      <c r="AV100">
        <v>0.1</v>
      </c>
      <c r="AW100">
        <v>2.1369686206329501E-2</v>
      </c>
      <c r="AX100">
        <v>1.4982554457407E-2</v>
      </c>
      <c r="AY100">
        <v>60.878999710083001</v>
      </c>
      <c r="AZ100">
        <v>1.5429999828338601</v>
      </c>
      <c r="BA100">
        <v>1.5429999828338601</v>
      </c>
      <c r="BB100">
        <v>1.45500004291534</v>
      </c>
      <c r="BC100">
        <v>1.4880000352859399</v>
      </c>
      <c r="BD100">
        <v>1.4880000352859399</v>
      </c>
      <c r="BE100">
        <v>0</v>
      </c>
      <c r="BF100">
        <v>0.5</v>
      </c>
      <c r="BG100">
        <v>-1.45695068319554E-2</v>
      </c>
      <c r="BH100">
        <v>6.2237244911514902E-2</v>
      </c>
      <c r="BI100">
        <v>1.44010002613067</v>
      </c>
      <c r="BJ100">
        <f t="shared" si="1"/>
        <v>6.7893942067790217E-3</v>
      </c>
    </row>
    <row r="101" spans="1:62">
      <c r="A101" s="2">
        <v>44734</v>
      </c>
      <c r="B101">
        <v>134.78999328613199</v>
      </c>
      <c r="C101">
        <v>137.759994506835</v>
      </c>
      <c r="D101">
        <v>133.91000366210901</v>
      </c>
      <c r="E101">
        <v>135.350006103515</v>
      </c>
      <c r="F101">
        <v>134.01739501953099</v>
      </c>
      <c r="G101">
        <v>73409200</v>
      </c>
      <c r="H101">
        <v>0.1</v>
      </c>
      <c r="I101">
        <v>-3.8271070314191899E-3</v>
      </c>
      <c r="J101">
        <v>2.52361037823098E-2</v>
      </c>
      <c r="K101">
        <v>136.063999938964</v>
      </c>
      <c r="L101">
        <v>110.556503295898</v>
      </c>
      <c r="M101">
        <v>113.34649658203099</v>
      </c>
      <c r="N101">
        <v>110.38249969482401</v>
      </c>
      <c r="O101">
        <v>111.487503051757</v>
      </c>
      <c r="P101">
        <v>111.487503051757</v>
      </c>
      <c r="Q101">
        <v>30774000</v>
      </c>
      <c r="R101">
        <v>0.1</v>
      </c>
      <c r="S101">
        <v>-5.0648772818884203E-4</v>
      </c>
      <c r="T101">
        <v>2.7087543327584999E-2</v>
      </c>
      <c r="U101">
        <v>110.227201080322</v>
      </c>
      <c r="V101">
        <v>251.88999938964801</v>
      </c>
      <c r="W101">
        <v>257.17001342773398</v>
      </c>
      <c r="X101">
        <v>250.36999511718699</v>
      </c>
      <c r="Y101">
        <v>253.13000488281199</v>
      </c>
      <c r="Z101">
        <v>249.20935058593699</v>
      </c>
      <c r="AA101">
        <v>25939900</v>
      </c>
      <c r="AB101">
        <v>0.1</v>
      </c>
      <c r="AC101">
        <v>-2.4040379803964501E-3</v>
      </c>
      <c r="AD101">
        <v>2.0930366206152601E-2</v>
      </c>
      <c r="AE101">
        <v>252.619001770019</v>
      </c>
      <c r="AF101">
        <v>172</v>
      </c>
      <c r="AG101">
        <v>177.919998168945</v>
      </c>
      <c r="AH101">
        <v>171.69000244140599</v>
      </c>
      <c r="AI101">
        <v>175.74000549316401</v>
      </c>
      <c r="AJ101">
        <v>167.07077026367099</v>
      </c>
      <c r="AK101">
        <v>10593100</v>
      </c>
      <c r="AL101">
        <v>0.1</v>
      </c>
      <c r="AM101">
        <v>1.5779498716880402E-2</v>
      </c>
      <c r="AN101">
        <v>1.08644314497587E-2</v>
      </c>
      <c r="AO101">
        <v>172.08200225830001</v>
      </c>
      <c r="AP101">
        <v>60.599998474121001</v>
      </c>
      <c r="AQ101">
        <v>61.450000762939403</v>
      </c>
      <c r="AR101">
        <v>60.319999694824197</v>
      </c>
      <c r="AS101">
        <v>61.150001525878899</v>
      </c>
      <c r="AT101">
        <v>57.972557067871001</v>
      </c>
      <c r="AU101">
        <v>15207100</v>
      </c>
      <c r="AV101">
        <v>0.1</v>
      </c>
      <c r="AW101">
        <v>7.4135215367938604E-3</v>
      </c>
      <c r="AX101">
        <v>1.3251327900656701E-2</v>
      </c>
      <c r="AY101">
        <v>60.668999862670901</v>
      </c>
      <c r="AZ101">
        <v>1.58500003814697</v>
      </c>
      <c r="BA101">
        <v>1.6000000238418499</v>
      </c>
      <c r="BB101">
        <v>1.51300001144409</v>
      </c>
      <c r="BC101">
        <v>1.54499995708465</v>
      </c>
      <c r="BD101">
        <v>1.54499995708465</v>
      </c>
      <c r="BE101">
        <v>0</v>
      </c>
      <c r="BF101">
        <v>0.5</v>
      </c>
      <c r="BG101">
        <v>3.83063981498847E-2</v>
      </c>
      <c r="BH101">
        <v>6.2300626353163101E-2</v>
      </c>
      <c r="BI101">
        <v>1.4721000194549501</v>
      </c>
      <c r="BJ101">
        <f t="shared" si="1"/>
        <v>2.0798737826309328E-2</v>
      </c>
    </row>
    <row r="102" spans="1:62">
      <c r="A102" s="2">
        <v>44735</v>
      </c>
      <c r="B102">
        <v>136.82000732421801</v>
      </c>
      <c r="C102">
        <v>138.58999633789</v>
      </c>
      <c r="D102">
        <v>135.63000488281199</v>
      </c>
      <c r="E102">
        <v>138.27000427246</v>
      </c>
      <c r="F102">
        <v>136.908599853515</v>
      </c>
      <c r="G102">
        <v>72433800</v>
      </c>
      <c r="H102">
        <v>0.1</v>
      </c>
      <c r="I102">
        <v>2.1573683319320299E-2</v>
      </c>
      <c r="J102">
        <v>2.5459551570964401E-2</v>
      </c>
      <c r="K102">
        <v>135.094999694824</v>
      </c>
      <c r="L102">
        <v>112.23149871826099</v>
      </c>
      <c r="M102">
        <v>112.742500305175</v>
      </c>
      <c r="N102">
        <v>110.50050354003901</v>
      </c>
      <c r="O102">
        <v>112.24199676513599</v>
      </c>
      <c r="P102">
        <v>112.24199676513599</v>
      </c>
      <c r="Q102">
        <v>28362000</v>
      </c>
      <c r="R102">
        <v>0.1</v>
      </c>
      <c r="S102">
        <v>6.7675182664073104E-3</v>
      </c>
      <c r="T102">
        <v>2.4429764460995099E-2</v>
      </c>
      <c r="U102">
        <v>109.732000732421</v>
      </c>
      <c r="V102">
        <v>255.57000732421801</v>
      </c>
      <c r="W102">
        <v>259.36999511718699</v>
      </c>
      <c r="X102">
        <v>253.63000488281199</v>
      </c>
      <c r="Y102">
        <v>258.85998535156199</v>
      </c>
      <c r="Z102">
        <v>254.85060119628901</v>
      </c>
      <c r="AA102">
        <v>25861400</v>
      </c>
      <c r="AB102">
        <v>0.1</v>
      </c>
      <c r="AC102">
        <v>2.2636512298898501E-2</v>
      </c>
      <c r="AD102">
        <v>2.1584088454779601E-2</v>
      </c>
      <c r="AE102">
        <v>251.46399993896401</v>
      </c>
      <c r="AF102">
        <v>177</v>
      </c>
      <c r="AG102">
        <v>179.82000732421801</v>
      </c>
      <c r="AH102">
        <v>176.52000427246</v>
      </c>
      <c r="AI102">
        <v>179.66000366210901</v>
      </c>
      <c r="AJ102">
        <v>170.79737854003901</v>
      </c>
      <c r="AK102">
        <v>10223500</v>
      </c>
      <c r="AL102">
        <v>0.1</v>
      </c>
      <c r="AM102">
        <v>2.2305667727418901E-2</v>
      </c>
      <c r="AN102">
        <v>1.1780597946922799E-2</v>
      </c>
      <c r="AO102">
        <v>172.32000274658199</v>
      </c>
      <c r="AP102">
        <v>61.299999237060497</v>
      </c>
      <c r="AQ102">
        <v>61.909999847412102</v>
      </c>
      <c r="AR102">
        <v>61.2299995422363</v>
      </c>
      <c r="AS102">
        <v>61.880001068115199</v>
      </c>
      <c r="AT102">
        <v>58.664623260497997</v>
      </c>
      <c r="AU102">
        <v>17190900</v>
      </c>
      <c r="AV102">
        <v>0.1</v>
      </c>
      <c r="AW102">
        <v>1.1937849943100799E-2</v>
      </c>
      <c r="AX102">
        <v>1.2813119478250401E-2</v>
      </c>
      <c r="AY102">
        <v>60.568000030517503</v>
      </c>
      <c r="AZ102">
        <v>1.5</v>
      </c>
      <c r="BA102">
        <v>1.567999958992</v>
      </c>
      <c r="BB102">
        <v>1.4750000238418499</v>
      </c>
      <c r="BC102">
        <v>1.5599999427795399</v>
      </c>
      <c r="BD102">
        <v>1.5599999427795399</v>
      </c>
      <c r="BE102">
        <v>0</v>
      </c>
      <c r="BF102">
        <v>0.5</v>
      </c>
      <c r="BG102">
        <v>9.7087288747823505E-3</v>
      </c>
      <c r="BH102">
        <v>6.2062729960930901E-2</v>
      </c>
      <c r="BI102">
        <v>1.5048000097274701</v>
      </c>
      <c r="BJ102">
        <f t="shared" si="1"/>
        <v>1.3376487592905757E-2</v>
      </c>
    </row>
    <row r="103" spans="1:62">
      <c r="A103" s="2">
        <v>44736</v>
      </c>
      <c r="B103">
        <v>139.89999389648401</v>
      </c>
      <c r="C103">
        <v>141.91000366210901</v>
      </c>
      <c r="D103">
        <v>139.77000427246</v>
      </c>
      <c r="E103">
        <v>141.66000366210901</v>
      </c>
      <c r="F103">
        <v>140.26522827148401</v>
      </c>
      <c r="G103">
        <v>89116800</v>
      </c>
      <c r="H103">
        <v>0.1</v>
      </c>
      <c r="I103">
        <v>2.4517243689154901E-2</v>
      </c>
      <c r="J103">
        <v>2.6065317513427801E-2</v>
      </c>
      <c r="K103">
        <v>134.99700012207001</v>
      </c>
      <c r="L103">
        <v>112.995002746582</v>
      </c>
      <c r="M103">
        <v>118.07900238037099</v>
      </c>
      <c r="N103">
        <v>112.952499389648</v>
      </c>
      <c r="O103">
        <v>117.97499847412099</v>
      </c>
      <c r="P103">
        <v>117.97499847412099</v>
      </c>
      <c r="Q103">
        <v>41164000</v>
      </c>
      <c r="R103">
        <v>0.1</v>
      </c>
      <c r="S103">
        <v>5.10771535985814E-2</v>
      </c>
      <c r="T103">
        <v>2.66304356199491E-2</v>
      </c>
      <c r="U103">
        <v>110.04595031738199</v>
      </c>
      <c r="V103">
        <v>261.80999755859301</v>
      </c>
      <c r="W103">
        <v>267.98001098632801</v>
      </c>
      <c r="X103">
        <v>261.72000122070301</v>
      </c>
      <c r="Y103">
        <v>267.70001220703102</v>
      </c>
      <c r="Z103">
        <v>263.5537109375</v>
      </c>
      <c r="AA103">
        <v>33923200</v>
      </c>
      <c r="AB103">
        <v>0.1</v>
      </c>
      <c r="AC103">
        <v>3.4149839124277798E-2</v>
      </c>
      <c r="AD103">
        <v>2.2783988213420901E-2</v>
      </c>
      <c r="AE103">
        <v>251.755000305175</v>
      </c>
      <c r="AF103">
        <v>180.77999877929599</v>
      </c>
      <c r="AG103">
        <v>182.52999877929599</v>
      </c>
      <c r="AH103">
        <v>179.97999572753901</v>
      </c>
      <c r="AI103">
        <v>182.28999328613199</v>
      </c>
      <c r="AJ103">
        <v>173.29765319824199</v>
      </c>
      <c r="AK103">
        <v>9374400</v>
      </c>
      <c r="AL103">
        <v>0.1</v>
      </c>
      <c r="AM103">
        <v>1.46387040544078E-2</v>
      </c>
      <c r="AN103">
        <v>1.2020436715695E-2</v>
      </c>
      <c r="AO103">
        <v>173.178001403808</v>
      </c>
      <c r="AP103">
        <v>62.110000610351499</v>
      </c>
      <c r="AQ103">
        <v>63.060001373291001</v>
      </c>
      <c r="AR103">
        <v>62.110000610351499</v>
      </c>
      <c r="AS103">
        <v>63.040000915527301</v>
      </c>
      <c r="AT103">
        <v>59.7643432617187</v>
      </c>
      <c r="AU103">
        <v>18147100</v>
      </c>
      <c r="AV103">
        <v>0.1</v>
      </c>
      <c r="AW103">
        <v>1.87459571329875E-2</v>
      </c>
      <c r="AX103">
        <v>1.3596072593057E-2</v>
      </c>
      <c r="AY103">
        <v>60.692000198364198</v>
      </c>
      <c r="AZ103">
        <v>1.567999958992</v>
      </c>
      <c r="BA103">
        <v>1.6100000143051101</v>
      </c>
      <c r="BB103">
        <v>1.53999996185302</v>
      </c>
      <c r="BC103">
        <v>1.59800004959106</v>
      </c>
      <c r="BD103">
        <v>1.59800004959106</v>
      </c>
      <c r="BE103">
        <v>0</v>
      </c>
      <c r="BF103">
        <v>0.5</v>
      </c>
      <c r="BG103">
        <v>2.4359043721384002E-2</v>
      </c>
      <c r="BH103">
        <v>6.1881249190150499E-2</v>
      </c>
      <c r="BI103">
        <v>1.54080001115798</v>
      </c>
      <c r="BJ103">
        <f t="shared" si="1"/>
        <v>2.6492411620632941E-2</v>
      </c>
    </row>
    <row r="104" spans="1:62">
      <c r="A104" s="2">
        <v>44739</v>
      </c>
      <c r="B104">
        <v>142.69999694824199</v>
      </c>
      <c r="C104">
        <v>143.49000549316401</v>
      </c>
      <c r="D104">
        <v>140.97000122070301</v>
      </c>
      <c r="E104">
        <v>141.66000366210901</v>
      </c>
      <c r="F104">
        <v>140.26522827148401</v>
      </c>
      <c r="G104">
        <v>70207900</v>
      </c>
      <c r="H104">
        <v>0.1</v>
      </c>
      <c r="I104">
        <v>0</v>
      </c>
      <c r="J104">
        <v>2.55232814722119E-2</v>
      </c>
      <c r="K104">
        <v>135.44999999999999</v>
      </c>
      <c r="L104">
        <v>118.27300262451099</v>
      </c>
      <c r="M104">
        <v>118.579498291015</v>
      </c>
      <c r="N104">
        <v>115.17949676513599</v>
      </c>
      <c r="O104">
        <v>115.83350372314401</v>
      </c>
      <c r="P104">
        <v>115.83350372314401</v>
      </c>
      <c r="Q104">
        <v>36420000</v>
      </c>
      <c r="R104">
        <v>0.1</v>
      </c>
      <c r="S104">
        <v>-1.8152106621525499E-2</v>
      </c>
      <c r="T104">
        <v>2.69609077424291E-2</v>
      </c>
      <c r="U104">
        <v>110.513150787353</v>
      </c>
      <c r="V104">
        <v>268.20999145507801</v>
      </c>
      <c r="W104">
        <v>268.29998779296801</v>
      </c>
      <c r="X104">
        <v>263.27999877929602</v>
      </c>
      <c r="Y104">
        <v>264.89001464843699</v>
      </c>
      <c r="Z104">
        <v>260.78720092773398</v>
      </c>
      <c r="AA104">
        <v>24615100</v>
      </c>
      <c r="AB104">
        <v>0.1</v>
      </c>
      <c r="AC104">
        <v>-1.04968152052999E-2</v>
      </c>
      <c r="AD104">
        <v>2.27543958404955E-2</v>
      </c>
      <c r="AE104">
        <v>252.94500122070301</v>
      </c>
      <c r="AF104">
        <v>181.63999938964801</v>
      </c>
      <c r="AG104">
        <v>183.350006103515</v>
      </c>
      <c r="AH104">
        <v>181.5</v>
      </c>
      <c r="AI104">
        <v>182.11999511718699</v>
      </c>
      <c r="AJ104">
        <v>173.13604736328099</v>
      </c>
      <c r="AK104">
        <v>5908600</v>
      </c>
      <c r="AL104">
        <v>0.1</v>
      </c>
      <c r="AM104">
        <v>-9.3256994462920196E-4</v>
      </c>
      <c r="AN104">
        <v>1.2020751461121399E-2</v>
      </c>
      <c r="AO104">
        <v>174.135000610351</v>
      </c>
      <c r="AP104">
        <v>62.9799995422363</v>
      </c>
      <c r="AQ104">
        <v>63.290000915527301</v>
      </c>
      <c r="AR104">
        <v>62.630001068115199</v>
      </c>
      <c r="AS104">
        <v>62.909999847412102</v>
      </c>
      <c r="AT104">
        <v>59.641101837158203</v>
      </c>
      <c r="AU104">
        <v>12142100</v>
      </c>
      <c r="AV104">
        <v>0.1</v>
      </c>
      <c r="AW104">
        <v>-2.0621996546198399E-3</v>
      </c>
      <c r="AX104">
        <v>1.356043252761E-2</v>
      </c>
      <c r="AY104">
        <v>60.842000198364197</v>
      </c>
      <c r="AZ104">
        <v>1.60300004482269</v>
      </c>
      <c r="BA104">
        <v>1.63300001621246</v>
      </c>
      <c r="BB104">
        <v>1.5900000333786</v>
      </c>
      <c r="BC104">
        <v>1.63300001621246</v>
      </c>
      <c r="BD104">
        <v>1.63300001621246</v>
      </c>
      <c r="BE104">
        <v>0</v>
      </c>
      <c r="BF104">
        <v>0.5</v>
      </c>
      <c r="BG104">
        <v>2.1902356405029799E-2</v>
      </c>
      <c r="BH104">
        <v>6.1183926660347998E-2</v>
      </c>
      <c r="BI104">
        <v>1.5753000140190101</v>
      </c>
      <c r="BJ104">
        <f t="shared" si="1"/>
        <v>7.7868090599074553E-3</v>
      </c>
    </row>
    <row r="105" spans="1:62">
      <c r="A105" s="2">
        <v>44740</v>
      </c>
      <c r="B105">
        <v>142.13000488281199</v>
      </c>
      <c r="C105">
        <v>143.419998168945</v>
      </c>
      <c r="D105">
        <v>137.32000732421801</v>
      </c>
      <c r="E105">
        <v>137.44000244140599</v>
      </c>
      <c r="F105">
        <v>136.08676147460901</v>
      </c>
      <c r="G105">
        <v>67083400</v>
      </c>
      <c r="H105">
        <v>0.1</v>
      </c>
      <c r="I105">
        <v>-2.97896450064251E-2</v>
      </c>
      <c r="J105">
        <v>2.4380763895277099E-2</v>
      </c>
      <c r="K105">
        <v>136.00599975585899</v>
      </c>
      <c r="L105">
        <v>115.80249786376901</v>
      </c>
      <c r="M105">
        <v>117.30950164794901</v>
      </c>
      <c r="N105">
        <v>111.847999572753</v>
      </c>
      <c r="O105">
        <v>112.00749969482401</v>
      </c>
      <c r="P105">
        <v>112.00749969482401</v>
      </c>
      <c r="Q105">
        <v>35792000</v>
      </c>
      <c r="R105">
        <v>0.1</v>
      </c>
      <c r="S105">
        <v>-3.3030202017068397E-2</v>
      </c>
      <c r="T105">
        <v>2.6607687617563099E-2</v>
      </c>
      <c r="U105">
        <v>111.07465057373</v>
      </c>
      <c r="V105">
        <v>263.98001098632801</v>
      </c>
      <c r="W105">
        <v>266.91000366210898</v>
      </c>
      <c r="X105">
        <v>256.32000732421801</v>
      </c>
      <c r="Y105">
        <v>256.48001098632801</v>
      </c>
      <c r="Z105">
        <v>252.50744628906199</v>
      </c>
      <c r="AA105">
        <v>27295500</v>
      </c>
      <c r="AB105">
        <v>0.1</v>
      </c>
      <c r="AC105">
        <v>-3.17490399676678E-2</v>
      </c>
      <c r="AD105">
        <v>2.28428645235975E-2</v>
      </c>
      <c r="AE105">
        <v>254.36700286865201</v>
      </c>
      <c r="AF105">
        <v>182.169998168945</v>
      </c>
      <c r="AG105">
        <v>182.97000122070301</v>
      </c>
      <c r="AH105">
        <v>176.30999755859301</v>
      </c>
      <c r="AI105">
        <v>176.94000244140599</v>
      </c>
      <c r="AJ105">
        <v>168.21157836914</v>
      </c>
      <c r="AK105">
        <v>9245700</v>
      </c>
      <c r="AL105">
        <v>0.1</v>
      </c>
      <c r="AM105">
        <v>-2.84427455230718E-2</v>
      </c>
      <c r="AN105">
        <v>1.34983934594144E-2</v>
      </c>
      <c r="AO105">
        <v>174.74800109863199</v>
      </c>
      <c r="AP105">
        <v>63.080001831054602</v>
      </c>
      <c r="AQ105">
        <v>63.759998321533203</v>
      </c>
      <c r="AR105">
        <v>62.110000610351499</v>
      </c>
      <c r="AS105">
        <v>62.279998779296797</v>
      </c>
      <c r="AT105">
        <v>59.043834686279297</v>
      </c>
      <c r="AU105">
        <v>13150100</v>
      </c>
      <c r="AV105">
        <v>0.1</v>
      </c>
      <c r="AW105">
        <v>-1.0014323154399801E-2</v>
      </c>
      <c r="AX105">
        <v>1.36005431724938E-2</v>
      </c>
      <c r="AY105">
        <v>60.936000061035102</v>
      </c>
      <c r="AZ105">
        <v>1.7380000352859399</v>
      </c>
      <c r="BA105">
        <v>1.7430000305175699</v>
      </c>
      <c r="BB105">
        <v>1.7350000143051101</v>
      </c>
      <c r="BC105">
        <v>1.7380000352859399</v>
      </c>
      <c r="BD105">
        <v>1.7380000352859399</v>
      </c>
      <c r="BE105">
        <v>0</v>
      </c>
      <c r="BF105">
        <v>0.5</v>
      </c>
      <c r="BG105">
        <v>6.4298847538912102E-2</v>
      </c>
      <c r="BH105">
        <v>6.14078656662361E-2</v>
      </c>
      <c r="BI105">
        <v>1.5993000149726799</v>
      </c>
      <c r="BJ105">
        <f t="shared" si="1"/>
        <v>1.8846828202592762E-2</v>
      </c>
    </row>
    <row r="106" spans="1:62">
      <c r="A106" s="2">
        <v>44741</v>
      </c>
      <c r="B106">
        <v>137.46000671386699</v>
      </c>
      <c r="C106">
        <v>140.669998168945</v>
      </c>
      <c r="D106">
        <v>136.669998168945</v>
      </c>
      <c r="E106">
        <v>139.22999572753901</v>
      </c>
      <c r="F106">
        <v>137.859130859375</v>
      </c>
      <c r="G106">
        <v>66242400</v>
      </c>
      <c r="H106">
        <v>0.1</v>
      </c>
      <c r="I106">
        <v>1.30238158784661E-2</v>
      </c>
      <c r="J106">
        <v>2.4670030514911501E-2</v>
      </c>
      <c r="K106">
        <v>136.65299987792901</v>
      </c>
      <c r="L106">
        <v>111.552001953125</v>
      </c>
      <c r="M106">
        <v>113.160499572753</v>
      </c>
      <c r="N106">
        <v>110.872497558593</v>
      </c>
      <c r="O106">
        <v>111.70149993896401</v>
      </c>
      <c r="P106">
        <v>111.70149993896401</v>
      </c>
      <c r="Q106">
        <v>24716000</v>
      </c>
      <c r="R106">
        <v>0.1</v>
      </c>
      <c r="S106">
        <v>-2.7319577411610801E-3</v>
      </c>
      <c r="T106">
        <v>2.6444823736399201E-2</v>
      </c>
      <c r="U106">
        <v>111.573250579833</v>
      </c>
      <c r="V106">
        <v>257.58999633789</v>
      </c>
      <c r="W106">
        <v>261.97000122070301</v>
      </c>
      <c r="X106">
        <v>255.759994506835</v>
      </c>
      <c r="Y106">
        <v>260.260009765625</v>
      </c>
      <c r="Z106">
        <v>256.22888183593699</v>
      </c>
      <c r="AA106">
        <v>20069800</v>
      </c>
      <c r="AB106">
        <v>0.1</v>
      </c>
      <c r="AC106">
        <v>1.47379858756258E-2</v>
      </c>
      <c r="AD106">
        <v>2.31717515792331E-2</v>
      </c>
      <c r="AE106">
        <v>255.944003295898</v>
      </c>
      <c r="AF106">
        <v>177.22000122070301</v>
      </c>
      <c r="AG106">
        <v>178.30000305175699</v>
      </c>
      <c r="AH106">
        <v>176.42999267578099</v>
      </c>
      <c r="AI106">
        <v>176.99000549316401</v>
      </c>
      <c r="AJ106">
        <v>168.25909423828099</v>
      </c>
      <c r="AK106">
        <v>7097900</v>
      </c>
      <c r="AL106">
        <v>0.1</v>
      </c>
      <c r="AM106">
        <v>2.8259890961845798E-4</v>
      </c>
      <c r="AN106">
        <v>1.3382848191540101E-2</v>
      </c>
      <c r="AO106">
        <v>175.62800140380801</v>
      </c>
      <c r="AP106">
        <v>62.540000915527301</v>
      </c>
      <c r="AQ106">
        <v>63.110000610351499</v>
      </c>
      <c r="AR106">
        <v>62.430000305175703</v>
      </c>
      <c r="AS106">
        <v>62.7299995422363</v>
      </c>
      <c r="AT106">
        <v>59.470455169677699</v>
      </c>
      <c r="AU106">
        <v>11795500</v>
      </c>
      <c r="AV106">
        <v>0.1</v>
      </c>
      <c r="AW106">
        <v>7.2254459177838399E-3</v>
      </c>
      <c r="AX106">
        <v>1.30259286014121E-2</v>
      </c>
      <c r="AY106">
        <v>61.286000061035097</v>
      </c>
      <c r="AZ106">
        <v>1.7300000190734801</v>
      </c>
      <c r="BA106">
        <v>1.7480000257492001</v>
      </c>
      <c r="BB106">
        <v>1.6950000524520801</v>
      </c>
      <c r="BC106">
        <v>1.70500004291534</v>
      </c>
      <c r="BD106">
        <v>1.70500004291534</v>
      </c>
      <c r="BE106">
        <v>0</v>
      </c>
      <c r="BF106">
        <v>0.5</v>
      </c>
      <c r="BG106">
        <v>-1.8987336996904001E-2</v>
      </c>
      <c r="BH106">
        <v>6.2118613495095398E-2</v>
      </c>
      <c r="BI106">
        <v>1.59550001621246</v>
      </c>
      <c r="BJ106">
        <f t="shared" si="1"/>
        <v>-6.2398796144186898E-3</v>
      </c>
    </row>
    <row r="107" spans="1:62">
      <c r="A107" s="2">
        <v>44742</v>
      </c>
      <c r="B107">
        <v>137.25</v>
      </c>
      <c r="C107">
        <v>138.36999511718699</v>
      </c>
      <c r="D107">
        <v>133.77000427246</v>
      </c>
      <c r="E107">
        <v>136.72000122070301</v>
      </c>
      <c r="F107">
        <v>135.37385559082</v>
      </c>
      <c r="G107">
        <v>98964500</v>
      </c>
      <c r="H107">
        <v>0.1</v>
      </c>
      <c r="I107">
        <v>-1.8027685009398199E-2</v>
      </c>
      <c r="J107">
        <v>2.4887995092899299E-2</v>
      </c>
      <c r="K107">
        <v>136.78200073242101</v>
      </c>
      <c r="L107">
        <v>110</v>
      </c>
      <c r="M107">
        <v>110.88800048828099</v>
      </c>
      <c r="N107">
        <v>106.75</v>
      </c>
      <c r="O107">
        <v>108.962997436523</v>
      </c>
      <c r="P107">
        <v>108.962997436523</v>
      </c>
      <c r="Q107">
        <v>43170000</v>
      </c>
      <c r="R107">
        <v>0.1</v>
      </c>
      <c r="S107">
        <v>-2.4516255412306499E-2</v>
      </c>
      <c r="T107">
        <v>2.6973857403672499E-2</v>
      </c>
      <c r="U107">
        <v>111.493099975585</v>
      </c>
      <c r="V107">
        <v>257.04998779296801</v>
      </c>
      <c r="W107">
        <v>259.52999877929602</v>
      </c>
      <c r="X107">
        <v>252.89999389648401</v>
      </c>
      <c r="Y107">
        <v>256.829986572265</v>
      </c>
      <c r="Z107">
        <v>252.85203552246</v>
      </c>
      <c r="AA107">
        <v>31730900</v>
      </c>
      <c r="AB107">
        <v>0.1</v>
      </c>
      <c r="AC107">
        <v>-1.3179217185338E-2</v>
      </c>
      <c r="AD107">
        <v>2.3284565672254801E-2</v>
      </c>
      <c r="AE107">
        <v>256.45100250244099</v>
      </c>
      <c r="AF107">
        <v>176.86000061035099</v>
      </c>
      <c r="AG107">
        <v>178.28999328613199</v>
      </c>
      <c r="AH107">
        <v>175.02999877929599</v>
      </c>
      <c r="AI107">
        <v>177.509994506835</v>
      </c>
      <c r="AJ107">
        <v>168.75344848632801</v>
      </c>
      <c r="AK107">
        <v>10777200</v>
      </c>
      <c r="AL107">
        <v>0.1</v>
      </c>
      <c r="AM107">
        <v>2.9379569327825299E-3</v>
      </c>
      <c r="AN107">
        <v>1.32120819012078E-2</v>
      </c>
      <c r="AO107">
        <v>176.380000305175</v>
      </c>
      <c r="AP107">
        <v>62.319999694824197</v>
      </c>
      <c r="AQ107">
        <v>63.110000610351499</v>
      </c>
      <c r="AR107">
        <v>62.159999847412102</v>
      </c>
      <c r="AS107">
        <v>62.909999847412102</v>
      </c>
      <c r="AT107">
        <v>59.641101837158203</v>
      </c>
      <c r="AU107">
        <v>15514200</v>
      </c>
      <c r="AV107">
        <v>0.1</v>
      </c>
      <c r="AW107">
        <v>2.86944534495958E-3</v>
      </c>
      <c r="AX107">
        <v>1.3001741140828299E-2</v>
      </c>
      <c r="AY107">
        <v>61.610000228881802</v>
      </c>
      <c r="AZ107">
        <v>1.65999996662139</v>
      </c>
      <c r="BA107">
        <v>1.6729999780654901</v>
      </c>
      <c r="BB107">
        <v>1.5900000333786</v>
      </c>
      <c r="BC107">
        <v>1.6000000238418499</v>
      </c>
      <c r="BD107">
        <v>1.6000000238418499</v>
      </c>
      <c r="BE107">
        <v>0</v>
      </c>
      <c r="BF107">
        <v>0.5</v>
      </c>
      <c r="BG107">
        <v>-6.1583587349328603E-2</v>
      </c>
      <c r="BH107">
        <v>6.4252542436278204E-2</v>
      </c>
      <c r="BI107">
        <v>1.58600001335144</v>
      </c>
      <c r="BJ107">
        <f t="shared" si="1"/>
        <v>-3.5783369207594361E-2</v>
      </c>
    </row>
    <row r="108" spans="1:62">
      <c r="A108" s="2">
        <v>44743</v>
      </c>
      <c r="B108">
        <v>136.03999328613199</v>
      </c>
      <c r="C108">
        <v>139.03999328613199</v>
      </c>
      <c r="D108">
        <v>135.66000366210901</v>
      </c>
      <c r="E108">
        <v>138.92999267578099</v>
      </c>
      <c r="F108">
        <v>137.56210327148401</v>
      </c>
      <c r="G108">
        <v>71051600</v>
      </c>
      <c r="H108">
        <v>0.1</v>
      </c>
      <c r="I108">
        <v>1.61643609958033E-2</v>
      </c>
      <c r="J108">
        <v>2.4860070750529401E-2</v>
      </c>
      <c r="K108">
        <v>137.66900024413999</v>
      </c>
      <c r="L108">
        <v>107.93299865722599</v>
      </c>
      <c r="M108">
        <v>109.25</v>
      </c>
      <c r="N108">
        <v>106.730499267578</v>
      </c>
      <c r="O108">
        <v>108.737503051757</v>
      </c>
      <c r="P108">
        <v>108.737503051757</v>
      </c>
      <c r="Q108">
        <v>35476000</v>
      </c>
      <c r="R108">
        <v>0.1</v>
      </c>
      <c r="S108">
        <v>-2.06945834889493E-3</v>
      </c>
      <c r="T108">
        <v>2.5716125211991198E-2</v>
      </c>
      <c r="U108">
        <v>111.763500213623</v>
      </c>
      <c r="V108">
        <v>256.39001464843699</v>
      </c>
      <c r="W108">
        <v>259.76998901367102</v>
      </c>
      <c r="X108">
        <v>254.61000061035099</v>
      </c>
      <c r="Y108">
        <v>259.579986572265</v>
      </c>
      <c r="Z108">
        <v>255.55941772460901</v>
      </c>
      <c r="AA108">
        <v>22837700</v>
      </c>
      <c r="AB108">
        <v>0.1</v>
      </c>
      <c r="AC108">
        <v>1.0707472428365301E-2</v>
      </c>
      <c r="AD108">
        <v>2.3359385431488501E-2</v>
      </c>
      <c r="AE108">
        <v>257.91200103759701</v>
      </c>
      <c r="AF108">
        <v>177.44999694824199</v>
      </c>
      <c r="AG108">
        <v>179.72000122070301</v>
      </c>
      <c r="AH108">
        <v>176.69000244140599</v>
      </c>
      <c r="AI108">
        <v>179.52000427246</v>
      </c>
      <c r="AJ108">
        <v>170.664306640625</v>
      </c>
      <c r="AK108">
        <v>5498400</v>
      </c>
      <c r="AL108">
        <v>0.1</v>
      </c>
      <c r="AM108">
        <v>1.1323361094169799E-2</v>
      </c>
      <c r="AN108">
        <v>1.34235874098875E-2</v>
      </c>
      <c r="AO108">
        <v>177.324000549316</v>
      </c>
      <c r="AP108">
        <v>63.119998931884702</v>
      </c>
      <c r="AQ108">
        <v>64.449996948242102</v>
      </c>
      <c r="AR108">
        <v>62.819999694824197</v>
      </c>
      <c r="AS108">
        <v>64.379997253417898</v>
      </c>
      <c r="AT108">
        <v>61.034713745117102</v>
      </c>
      <c r="AU108">
        <v>15143200</v>
      </c>
      <c r="AV108">
        <v>0.1</v>
      </c>
      <c r="AW108">
        <v>2.33666731770996E-2</v>
      </c>
      <c r="AX108">
        <v>1.3843530457574501E-2</v>
      </c>
      <c r="AY108">
        <v>62.1409999847412</v>
      </c>
      <c r="AZ108">
        <v>1.6100000143051101</v>
      </c>
      <c r="BA108">
        <v>1.6280000209808301</v>
      </c>
      <c r="BB108">
        <v>1.5729999542236299</v>
      </c>
      <c r="BC108">
        <v>1.60300004482269</v>
      </c>
      <c r="BD108">
        <v>1.60300004482269</v>
      </c>
      <c r="BE108">
        <v>0</v>
      </c>
      <c r="BF108">
        <v>0.5</v>
      </c>
      <c r="BG108">
        <v>1.8750130850819699E-3</v>
      </c>
      <c r="BH108">
        <v>6.4340981975377298E-2</v>
      </c>
      <c r="BI108">
        <v>1.5980000138282699</v>
      </c>
      <c r="BJ108">
        <f t="shared" si="1"/>
        <v>6.8867474771952923E-3</v>
      </c>
    </row>
    <row r="109" spans="1:62">
      <c r="A109" s="2">
        <v>44747</v>
      </c>
      <c r="B109">
        <v>137.77000427246</v>
      </c>
      <c r="C109">
        <v>141.61000061035099</v>
      </c>
      <c r="D109">
        <v>136.92999267578099</v>
      </c>
      <c r="E109">
        <v>141.55999755859301</v>
      </c>
      <c r="F109">
        <v>140.16621398925699</v>
      </c>
      <c r="G109">
        <v>73353800</v>
      </c>
      <c r="H109">
        <v>0.1</v>
      </c>
      <c r="I109">
        <v>1.89304327464416E-2</v>
      </c>
      <c r="J109">
        <v>2.39526202860573E-2</v>
      </c>
      <c r="K109">
        <v>138.66900024413999</v>
      </c>
      <c r="L109">
        <v>107.10050201416</v>
      </c>
      <c r="M109">
        <v>113.376998901367</v>
      </c>
      <c r="N109">
        <v>105.73149871826099</v>
      </c>
      <c r="O109">
        <v>113.26300048828099</v>
      </c>
      <c r="P109">
        <v>113.26300048828099</v>
      </c>
      <c r="Q109">
        <v>39342000</v>
      </c>
      <c r="R109">
        <v>0.1</v>
      </c>
      <c r="S109">
        <v>4.1618552104965602E-2</v>
      </c>
      <c r="T109">
        <v>2.7018518403411199E-2</v>
      </c>
      <c r="U109">
        <v>112.375450134277</v>
      </c>
      <c r="V109">
        <v>256.16000366210898</v>
      </c>
      <c r="W109">
        <v>262.98001098632801</v>
      </c>
      <c r="X109">
        <v>254.74000549316401</v>
      </c>
      <c r="Y109">
        <v>262.850006103515</v>
      </c>
      <c r="Z109">
        <v>258.77877807617102</v>
      </c>
      <c r="AA109">
        <v>22941000</v>
      </c>
      <c r="AB109">
        <v>0.1</v>
      </c>
      <c r="AC109">
        <v>1.25973484105241E-2</v>
      </c>
      <c r="AD109">
        <v>2.3346819273932701E-2</v>
      </c>
      <c r="AE109">
        <v>259.43200225829997</v>
      </c>
      <c r="AF109">
        <v>178.83000183105401</v>
      </c>
      <c r="AG109">
        <v>179.13000488281199</v>
      </c>
      <c r="AH109">
        <v>174.61000061035099</v>
      </c>
      <c r="AI109">
        <v>178.13999938964801</v>
      </c>
      <c r="AJ109">
        <v>169.35237121582</v>
      </c>
      <c r="AK109">
        <v>5676400</v>
      </c>
      <c r="AL109">
        <v>0.1</v>
      </c>
      <c r="AM109">
        <v>-7.6871927917182498E-3</v>
      </c>
      <c r="AN109">
        <v>1.35150800813017E-2</v>
      </c>
      <c r="AO109">
        <v>178.191999816894</v>
      </c>
      <c r="AP109">
        <v>64.180000305175696</v>
      </c>
      <c r="AQ109">
        <v>64.180000305175696</v>
      </c>
      <c r="AR109">
        <v>62.419998168945298</v>
      </c>
      <c r="AS109">
        <v>63.279998779296797</v>
      </c>
      <c r="AT109">
        <v>59.991870880126903</v>
      </c>
      <c r="AU109">
        <v>15921200</v>
      </c>
      <c r="AV109">
        <v>0.1</v>
      </c>
      <c r="AW109">
        <v>-1.70860285966025E-2</v>
      </c>
      <c r="AX109">
        <v>1.41343056712907E-2</v>
      </c>
      <c r="AY109">
        <v>62.525999832153303</v>
      </c>
      <c r="AZ109">
        <v>1.6130000352859399</v>
      </c>
      <c r="BA109">
        <v>1.6529999971389699</v>
      </c>
      <c r="BB109">
        <v>1.60300004482269</v>
      </c>
      <c r="BC109">
        <v>1.62999999523162</v>
      </c>
      <c r="BD109">
        <v>1.62999999523162</v>
      </c>
      <c r="BE109">
        <v>0</v>
      </c>
      <c r="BF109">
        <v>0.5</v>
      </c>
      <c r="BG109">
        <v>1.6843387182763299E-2</v>
      </c>
      <c r="BH109">
        <v>6.4345613276725597E-2</v>
      </c>
      <c r="BI109">
        <v>1.6100000143051101</v>
      </c>
      <c r="BJ109">
        <f t="shared" si="1"/>
        <v>1.3259004778742705E-2</v>
      </c>
    </row>
    <row r="110" spans="1:62">
      <c r="A110" s="2">
        <v>44748</v>
      </c>
      <c r="B110">
        <v>141.350006103515</v>
      </c>
      <c r="C110">
        <v>144.11999511718699</v>
      </c>
      <c r="D110">
        <v>141.08000183105401</v>
      </c>
      <c r="E110">
        <v>142.919998168945</v>
      </c>
      <c r="F110">
        <v>141.51281738281199</v>
      </c>
      <c r="G110">
        <v>74064300</v>
      </c>
      <c r="H110">
        <v>0.1</v>
      </c>
      <c r="I110">
        <v>9.6072381591321108E-3</v>
      </c>
      <c r="J110">
        <v>2.4032968913039701E-2</v>
      </c>
      <c r="K110">
        <v>139.37400054931601</v>
      </c>
      <c r="L110">
        <v>113.302001953125</v>
      </c>
      <c r="M110">
        <v>115.58950042724599</v>
      </c>
      <c r="N110">
        <v>111.47599792480401</v>
      </c>
      <c r="O110">
        <v>114.57199859619099</v>
      </c>
      <c r="P110">
        <v>114.57199859619099</v>
      </c>
      <c r="Q110">
        <v>37432000</v>
      </c>
      <c r="R110">
        <v>0.1</v>
      </c>
      <c r="S110">
        <v>1.15571554900277E-2</v>
      </c>
      <c r="T110">
        <v>2.6754674109582901E-2</v>
      </c>
      <c r="U110">
        <v>112.67825012207</v>
      </c>
      <c r="V110">
        <v>263.75</v>
      </c>
      <c r="W110">
        <v>267.989990234375</v>
      </c>
      <c r="X110">
        <v>262.39999389648398</v>
      </c>
      <c r="Y110">
        <v>266.20999145507801</v>
      </c>
      <c r="Z110">
        <v>262.08676147460898</v>
      </c>
      <c r="AA110">
        <v>23824400</v>
      </c>
      <c r="AB110">
        <v>0.1</v>
      </c>
      <c r="AC110">
        <v>1.2782900032497E-2</v>
      </c>
      <c r="AD110">
        <v>2.35308356809215E-2</v>
      </c>
      <c r="AE110">
        <v>260.67900085449202</v>
      </c>
      <c r="AF110">
        <v>178.07000732421801</v>
      </c>
      <c r="AG110">
        <v>179.44000244140599</v>
      </c>
      <c r="AH110">
        <v>177.41000366210901</v>
      </c>
      <c r="AI110">
        <v>178.30000305175699</v>
      </c>
      <c r="AJ110">
        <v>169.50448608398401</v>
      </c>
      <c r="AK110">
        <v>5335600</v>
      </c>
      <c r="AL110">
        <v>0.1</v>
      </c>
      <c r="AM110">
        <v>8.9819053922535197E-4</v>
      </c>
      <c r="AN110">
        <v>1.35142723383989E-2</v>
      </c>
      <c r="AO110">
        <v>178.72100067138601</v>
      </c>
      <c r="AP110">
        <v>63.599998474121001</v>
      </c>
      <c r="AQ110">
        <v>64.089996337890597</v>
      </c>
      <c r="AR110">
        <v>63.189998626708899</v>
      </c>
      <c r="AS110">
        <v>63.409999847412102</v>
      </c>
      <c r="AT110">
        <v>60.115119934082003</v>
      </c>
      <c r="AU110">
        <v>13450500</v>
      </c>
      <c r="AV110">
        <v>0.1</v>
      </c>
      <c r="AW110">
        <v>2.0543784864572802E-3</v>
      </c>
      <c r="AX110">
        <v>1.4131609112809701E-2</v>
      </c>
      <c r="AY110">
        <v>62.796999740600498</v>
      </c>
      <c r="AZ110">
        <v>1.8380000591278001</v>
      </c>
      <c r="BA110">
        <v>1.85800004005432</v>
      </c>
      <c r="BB110">
        <v>1.79999995231628</v>
      </c>
      <c r="BC110">
        <v>1.8400000333786</v>
      </c>
      <c r="BD110">
        <v>1.8400000333786</v>
      </c>
      <c r="BE110">
        <v>0</v>
      </c>
      <c r="BF110">
        <v>0.5</v>
      </c>
      <c r="BG110">
        <v>0.12883437960816099</v>
      </c>
      <c r="BH110">
        <v>6.8786915862456596E-2</v>
      </c>
      <c r="BI110">
        <v>1.6452000141143699</v>
      </c>
      <c r="BJ110">
        <f t="shared" si="1"/>
        <v>6.8107176074814438E-2</v>
      </c>
    </row>
    <row r="111" spans="1:62">
      <c r="A111" s="2">
        <v>44749</v>
      </c>
      <c r="B111">
        <v>143.28999328613199</v>
      </c>
      <c r="C111">
        <v>146.55000305175699</v>
      </c>
      <c r="D111">
        <v>143.27999877929599</v>
      </c>
      <c r="E111">
        <v>146.350006103515</v>
      </c>
      <c r="F111">
        <v>144.90905761718699</v>
      </c>
      <c r="G111">
        <v>66253700</v>
      </c>
      <c r="H111">
        <v>0.1</v>
      </c>
      <c r="I111">
        <v>2.3999496071331401E-2</v>
      </c>
      <c r="J111">
        <v>2.4332641174968399E-2</v>
      </c>
      <c r="K111">
        <v>140.474000549316</v>
      </c>
      <c r="L111">
        <v>115.08000183105401</v>
      </c>
      <c r="M111">
        <v>119.189498901367</v>
      </c>
      <c r="N111">
        <v>114.83350372314401</v>
      </c>
      <c r="O111">
        <v>118.782997131347</v>
      </c>
      <c r="P111">
        <v>118.782997131347</v>
      </c>
      <c r="Q111">
        <v>40936000</v>
      </c>
      <c r="R111">
        <v>0.1</v>
      </c>
      <c r="S111">
        <v>3.6754168442133001E-2</v>
      </c>
      <c r="T111">
        <v>2.8030747362952801E-2</v>
      </c>
      <c r="U111">
        <v>113.407799530029</v>
      </c>
      <c r="V111">
        <v>265.11999511718699</v>
      </c>
      <c r="W111">
        <v>269.05999755859301</v>
      </c>
      <c r="X111">
        <v>265.01998901367102</v>
      </c>
      <c r="Y111">
        <v>268.39999389648398</v>
      </c>
      <c r="Z111">
        <v>264.24282836914</v>
      </c>
      <c r="AA111">
        <v>20859900</v>
      </c>
      <c r="AB111">
        <v>0.1</v>
      </c>
      <c r="AC111">
        <v>8.2265974670443498E-3</v>
      </c>
      <c r="AD111">
        <v>2.3383801379870301E-2</v>
      </c>
      <c r="AE111">
        <v>262.20599975585901</v>
      </c>
      <c r="AF111">
        <v>177.86000061035099</v>
      </c>
      <c r="AG111">
        <v>179.11999511718699</v>
      </c>
      <c r="AH111">
        <v>177.509994506835</v>
      </c>
      <c r="AI111">
        <v>178.5</v>
      </c>
      <c r="AJ111">
        <v>169.69459533691401</v>
      </c>
      <c r="AK111">
        <v>5725800</v>
      </c>
      <c r="AL111">
        <v>0.1</v>
      </c>
      <c r="AM111">
        <v>1.1216878565287699E-3</v>
      </c>
      <c r="AN111">
        <v>1.32938582464624E-2</v>
      </c>
      <c r="AO111">
        <v>178.99700012207001</v>
      </c>
      <c r="AP111">
        <v>63.259998321533203</v>
      </c>
      <c r="AQ111">
        <v>63.580001831054602</v>
      </c>
      <c r="AR111">
        <v>62.700000762939403</v>
      </c>
      <c r="AS111">
        <v>62.909999847412102</v>
      </c>
      <c r="AT111">
        <v>59.641101837158203</v>
      </c>
      <c r="AU111">
        <v>14828400</v>
      </c>
      <c r="AV111">
        <v>0.1</v>
      </c>
      <c r="AW111">
        <v>-7.8851916291308097E-3</v>
      </c>
      <c r="AX111">
        <v>1.41883147834749E-2</v>
      </c>
      <c r="AY111">
        <v>62.972999572753899</v>
      </c>
      <c r="AZ111">
        <v>1.81299996376037</v>
      </c>
      <c r="BA111">
        <v>1.8630000352859399</v>
      </c>
      <c r="BB111">
        <v>1.8049999475479099</v>
      </c>
      <c r="BC111">
        <v>1.85300004482269</v>
      </c>
      <c r="BD111">
        <v>1.85300004482269</v>
      </c>
      <c r="BE111">
        <v>0</v>
      </c>
      <c r="BF111">
        <v>0.5</v>
      </c>
      <c r="BG111">
        <v>7.0652234827524004E-3</v>
      </c>
      <c r="BH111">
        <v>6.8514171780946501E-2</v>
      </c>
      <c r="BI111">
        <v>1.67600002288818</v>
      </c>
      <c r="BJ111">
        <f t="shared" si="1"/>
        <v>9.7542875621668725E-3</v>
      </c>
    </row>
    <row r="112" spans="1:62">
      <c r="A112" s="2">
        <v>44750</v>
      </c>
      <c r="B112">
        <v>145.259994506835</v>
      </c>
      <c r="C112">
        <v>147.55000305175699</v>
      </c>
      <c r="D112">
        <v>145</v>
      </c>
      <c r="E112">
        <v>147.03999328613199</v>
      </c>
      <c r="F112">
        <v>145.59225463867099</v>
      </c>
      <c r="G112">
        <v>64547800</v>
      </c>
      <c r="H112">
        <v>0.1</v>
      </c>
      <c r="I112">
        <v>4.7146371974124898E-3</v>
      </c>
      <c r="J112">
        <v>2.4334907805751298E-2</v>
      </c>
      <c r="K112">
        <v>141.35099945068299</v>
      </c>
      <c r="L112">
        <v>117.25</v>
      </c>
      <c r="M112">
        <v>119.684997558593</v>
      </c>
      <c r="N112">
        <v>116.901496887207</v>
      </c>
      <c r="O112">
        <v>119.35350036621</v>
      </c>
      <c r="P112">
        <v>119.35350036621</v>
      </c>
      <c r="Q112">
        <v>38238000</v>
      </c>
      <c r="R112">
        <v>0.1</v>
      </c>
      <c r="S112">
        <v>4.8029031817779996E-3</v>
      </c>
      <c r="T112">
        <v>2.8042509729855499E-2</v>
      </c>
      <c r="U112">
        <v>114.11894989013599</v>
      </c>
      <c r="V112">
        <v>264.79000854492102</v>
      </c>
      <c r="W112">
        <v>268.100006103515</v>
      </c>
      <c r="X112">
        <v>263.29000854492102</v>
      </c>
      <c r="Y112">
        <v>267.66000366210898</v>
      </c>
      <c r="Z112">
        <v>263.51425170898398</v>
      </c>
      <c r="AA112">
        <v>19658800</v>
      </c>
      <c r="AB112">
        <v>0.1</v>
      </c>
      <c r="AC112">
        <v>-2.7570426646894501E-3</v>
      </c>
      <c r="AD112">
        <v>2.3330219605160199E-2</v>
      </c>
      <c r="AE112">
        <v>263.08600158691399</v>
      </c>
      <c r="AF112">
        <v>178.33000183105401</v>
      </c>
      <c r="AG112">
        <v>179.99000549316401</v>
      </c>
      <c r="AH112">
        <v>177.77000427246</v>
      </c>
      <c r="AI112">
        <v>178.27999877929599</v>
      </c>
      <c r="AJ112">
        <v>169.48547363281199</v>
      </c>
      <c r="AK112">
        <v>3828300</v>
      </c>
      <c r="AL112">
        <v>0.1</v>
      </c>
      <c r="AM112">
        <v>-1.2324998358718101E-3</v>
      </c>
      <c r="AN112">
        <v>1.3222138040192601E-2</v>
      </c>
      <c r="AO112">
        <v>178.85899963378901</v>
      </c>
      <c r="AP112">
        <v>63.029998779296797</v>
      </c>
      <c r="AQ112">
        <v>63.419998168945298</v>
      </c>
      <c r="AR112">
        <v>62.880001068115199</v>
      </c>
      <c r="AS112">
        <v>63.139999389648402</v>
      </c>
      <c r="AT112">
        <v>59.8591499328613</v>
      </c>
      <c r="AU112">
        <v>11311500</v>
      </c>
      <c r="AV112">
        <v>0.1</v>
      </c>
      <c r="AW112">
        <v>3.6560092639357201E-3</v>
      </c>
      <c r="AX112">
        <v>1.4150882984020801E-2</v>
      </c>
      <c r="AY112">
        <v>63.098999404907197</v>
      </c>
      <c r="AZ112">
        <v>1.8329999446868801</v>
      </c>
      <c r="BA112">
        <v>1.8680000305175699</v>
      </c>
      <c r="BB112">
        <v>1.82500004768371</v>
      </c>
      <c r="BC112">
        <v>1.84300005435943</v>
      </c>
      <c r="BD112">
        <v>1.84300005435943</v>
      </c>
      <c r="BE112">
        <v>0</v>
      </c>
      <c r="BF112">
        <v>0.5</v>
      </c>
      <c r="BG112">
        <v>-5.3966487972825199E-3</v>
      </c>
      <c r="BH112">
        <v>6.8717234748222E-2</v>
      </c>
      <c r="BI112">
        <v>1.70430003404617</v>
      </c>
      <c r="BJ112">
        <f t="shared" si="1"/>
        <v>-1.7799236843847651E-3</v>
      </c>
    </row>
    <row r="113" spans="1:62">
      <c r="A113" s="2">
        <v>44753</v>
      </c>
      <c r="B113">
        <v>145.669998168945</v>
      </c>
      <c r="C113">
        <v>146.63999938964801</v>
      </c>
      <c r="D113">
        <v>143.77999877929599</v>
      </c>
      <c r="E113">
        <v>144.86999511718699</v>
      </c>
      <c r="F113">
        <v>143.44361877441401</v>
      </c>
      <c r="G113">
        <v>63141600</v>
      </c>
      <c r="H113">
        <v>0.1</v>
      </c>
      <c r="I113">
        <v>-1.47578772308741E-2</v>
      </c>
      <c r="J113">
        <v>2.31189833979835E-2</v>
      </c>
      <c r="K113">
        <v>141.671998596191</v>
      </c>
      <c r="L113">
        <v>117.998001098632</v>
      </c>
      <c r="M113">
        <v>117.998001098632</v>
      </c>
      <c r="N113">
        <v>115.33049774169901</v>
      </c>
      <c r="O113">
        <v>115.676498413085</v>
      </c>
      <c r="P113">
        <v>115.676498413085</v>
      </c>
      <c r="Q113">
        <v>31196000</v>
      </c>
      <c r="R113">
        <v>0.1</v>
      </c>
      <c r="S113">
        <v>-3.08076591121575E-2</v>
      </c>
      <c r="T113">
        <v>2.85685951640521E-2</v>
      </c>
      <c r="U113">
        <v>113.889099884033</v>
      </c>
      <c r="V113">
        <v>265.64999389648398</v>
      </c>
      <c r="W113">
        <v>266.52999877929602</v>
      </c>
      <c r="X113">
        <v>262.17999267578102</v>
      </c>
      <c r="Y113">
        <v>264.510009765625</v>
      </c>
      <c r="Z113">
        <v>260.4130859375</v>
      </c>
      <c r="AA113">
        <v>19455200</v>
      </c>
      <c r="AB113">
        <v>0.1</v>
      </c>
      <c r="AC113">
        <v>-1.1768638770777599E-2</v>
      </c>
      <c r="AD113">
        <v>2.2997357885882499E-2</v>
      </c>
      <c r="AE113">
        <v>262.76700134277303</v>
      </c>
      <c r="AF113">
        <v>177.69999694824199</v>
      </c>
      <c r="AG113">
        <v>179.02000427246</v>
      </c>
      <c r="AH113">
        <v>177.52000427246</v>
      </c>
      <c r="AI113">
        <v>178.350006103515</v>
      </c>
      <c r="AJ113">
        <v>169.552001953125</v>
      </c>
      <c r="AK113">
        <v>3645200</v>
      </c>
      <c r="AL113">
        <v>0.1</v>
      </c>
      <c r="AM113">
        <v>3.9268187512964098E-4</v>
      </c>
      <c r="AN113">
        <v>1.23123064424073E-2</v>
      </c>
      <c r="AO113">
        <v>178.46500091552701</v>
      </c>
      <c r="AP113">
        <v>62.990001678466797</v>
      </c>
      <c r="AQ113">
        <v>63.459999084472599</v>
      </c>
      <c r="AR113">
        <v>62.590000152587798</v>
      </c>
      <c r="AS113">
        <v>62.939998626708899</v>
      </c>
      <c r="AT113">
        <v>59.669536590576101</v>
      </c>
      <c r="AU113">
        <v>12702100</v>
      </c>
      <c r="AV113">
        <v>0.1</v>
      </c>
      <c r="AW113">
        <v>-3.1675762570919602E-3</v>
      </c>
      <c r="AX113">
        <v>1.3564631512204699E-2</v>
      </c>
      <c r="AY113">
        <v>63.088999176025297</v>
      </c>
      <c r="AZ113">
        <v>1.85300004482269</v>
      </c>
      <c r="BA113">
        <v>1.9650000333786</v>
      </c>
      <c r="BB113">
        <v>1.84300005435943</v>
      </c>
      <c r="BC113">
        <v>1.9529999494552599</v>
      </c>
      <c r="BD113">
        <v>1.9529999494552599</v>
      </c>
      <c r="BE113">
        <v>0</v>
      </c>
      <c r="BF113">
        <v>0.5</v>
      </c>
      <c r="BG113">
        <v>5.9685237032756001E-2</v>
      </c>
      <c r="BH113">
        <v>6.9057894884965804E-2</v>
      </c>
      <c r="BI113">
        <v>1.7398000240325899</v>
      </c>
      <c r="BJ113">
        <f t="shared" si="1"/>
        <v>2.3831711566800848E-2</v>
      </c>
    </row>
    <row r="114" spans="1:62">
      <c r="A114" s="2">
        <v>44754</v>
      </c>
      <c r="B114">
        <v>145.759994506835</v>
      </c>
      <c r="C114">
        <v>148.44999694824199</v>
      </c>
      <c r="D114">
        <v>145.05000305175699</v>
      </c>
      <c r="E114">
        <v>145.86000061035099</v>
      </c>
      <c r="F114">
        <v>144.42385864257801</v>
      </c>
      <c r="G114">
        <v>77588800</v>
      </c>
      <c r="H114">
        <v>0.1</v>
      </c>
      <c r="I114">
        <v>6.8337511322702398E-3</v>
      </c>
      <c r="J114">
        <v>2.11667597080244E-2</v>
      </c>
      <c r="K114">
        <v>142.09199829101499</v>
      </c>
      <c r="L114">
        <v>116.21499633789</v>
      </c>
      <c r="M114">
        <v>116.973999023437</v>
      </c>
      <c r="N114">
        <v>113.69000244140599</v>
      </c>
      <c r="O114">
        <v>114.020500183105</v>
      </c>
      <c r="P114">
        <v>114.020500183105</v>
      </c>
      <c r="Q114">
        <v>29960000</v>
      </c>
      <c r="R114">
        <v>0.1</v>
      </c>
      <c r="S114">
        <v>-1.43157707286991E-2</v>
      </c>
      <c r="T114">
        <v>2.7764321189520599E-2</v>
      </c>
      <c r="U114">
        <v>113.70779953002901</v>
      </c>
      <c r="V114">
        <v>265.88000488281199</v>
      </c>
      <c r="W114">
        <v>265.94000244140602</v>
      </c>
      <c r="X114">
        <v>252.03999328613199</v>
      </c>
      <c r="Y114">
        <v>253.669998168945</v>
      </c>
      <c r="Z114">
        <v>249.74098205566401</v>
      </c>
      <c r="AA114">
        <v>35868500</v>
      </c>
      <c r="AB114">
        <v>0.1</v>
      </c>
      <c r="AC114">
        <v>-4.0981479703867202E-2</v>
      </c>
      <c r="AD114">
        <v>2.2641575783694499E-2</v>
      </c>
      <c r="AE114">
        <v>261.64499969482398</v>
      </c>
      <c r="AF114">
        <v>177.97999572753901</v>
      </c>
      <c r="AG114">
        <v>178.44999694824199</v>
      </c>
      <c r="AH114">
        <v>175.19999694824199</v>
      </c>
      <c r="AI114">
        <v>175.850006103515</v>
      </c>
      <c r="AJ114">
        <v>167.17535400390599</v>
      </c>
      <c r="AK114">
        <v>4708800</v>
      </c>
      <c r="AL114">
        <v>0.1</v>
      </c>
      <c r="AM114">
        <v>-1.4017381073421299E-2</v>
      </c>
      <c r="AN114">
        <v>1.2669656661664501E-2</v>
      </c>
      <c r="AO114">
        <v>177.83800201416</v>
      </c>
      <c r="AP114">
        <v>63</v>
      </c>
      <c r="AQ114">
        <v>63.450000762939403</v>
      </c>
      <c r="AR114">
        <v>62.470001220703097</v>
      </c>
      <c r="AS114">
        <v>62.669998168945298</v>
      </c>
      <c r="AT114">
        <v>59.413566589355398</v>
      </c>
      <c r="AU114">
        <v>14731100</v>
      </c>
      <c r="AV114">
        <v>0.1</v>
      </c>
      <c r="AW114">
        <v>-4.2898071759585E-3</v>
      </c>
      <c r="AX114">
        <v>1.3514726309640301E-2</v>
      </c>
      <c r="AY114">
        <v>63.064999008178702</v>
      </c>
      <c r="AZ114">
        <v>2.10800004005432</v>
      </c>
      <c r="BA114">
        <v>2.1280000209808301</v>
      </c>
      <c r="BB114">
        <v>2.08500003814697</v>
      </c>
      <c r="BC114">
        <v>2.1129999160766602</v>
      </c>
      <c r="BD114">
        <v>2.1129999160766602</v>
      </c>
      <c r="BE114">
        <v>0</v>
      </c>
      <c r="BF114">
        <v>0.5</v>
      </c>
      <c r="BG114">
        <v>8.1925228244899201E-2</v>
      </c>
      <c r="BH114">
        <v>7.0153166444946E-2</v>
      </c>
      <c r="BI114">
        <v>1.78780001401901</v>
      </c>
      <c r="BJ114">
        <f t="shared" si="1"/>
        <v>3.4285545367482018E-2</v>
      </c>
    </row>
    <row r="115" spans="1:62">
      <c r="A115" s="2">
        <v>44755</v>
      </c>
      <c r="B115">
        <v>142.99000549316401</v>
      </c>
      <c r="C115">
        <v>146.44999694824199</v>
      </c>
      <c r="D115">
        <v>142.11999511718699</v>
      </c>
      <c r="E115">
        <v>145.49000549316401</v>
      </c>
      <c r="F115">
        <v>144.05751037597599</v>
      </c>
      <c r="G115">
        <v>71185600</v>
      </c>
      <c r="H115">
        <v>0.1</v>
      </c>
      <c r="I115">
        <v>-2.5366455206311499E-3</v>
      </c>
      <c r="J115">
        <v>1.8852756038373601E-2</v>
      </c>
      <c r="K115">
        <v>142.896998596191</v>
      </c>
      <c r="L115">
        <v>111.700996398925</v>
      </c>
      <c r="M115">
        <v>114.195999145507</v>
      </c>
      <c r="N115">
        <v>111.20149993896401</v>
      </c>
      <c r="O115">
        <v>111.35350036621</v>
      </c>
      <c r="P115">
        <v>111.35350036621</v>
      </c>
      <c r="Q115">
        <v>43722000</v>
      </c>
      <c r="R115">
        <v>0.1</v>
      </c>
      <c r="S115">
        <v>-2.3390529006727601E-2</v>
      </c>
      <c r="T115">
        <v>2.6427688120284901E-2</v>
      </c>
      <c r="U115">
        <v>113.642399597167</v>
      </c>
      <c r="V115">
        <v>250.19000244140599</v>
      </c>
      <c r="W115">
        <v>253.55000305175699</v>
      </c>
      <c r="X115">
        <v>248.11000061035099</v>
      </c>
      <c r="Y115">
        <v>252.72000122070301</v>
      </c>
      <c r="Z115">
        <v>248.80567932128901</v>
      </c>
      <c r="AA115">
        <v>29497400</v>
      </c>
      <c r="AB115">
        <v>0.1</v>
      </c>
      <c r="AC115">
        <v>-3.7450110580655701E-3</v>
      </c>
      <c r="AD115">
        <v>2.0327898549639099E-2</v>
      </c>
      <c r="AE115">
        <v>261.268998718261</v>
      </c>
      <c r="AF115">
        <v>175.66000366210901</v>
      </c>
      <c r="AG115">
        <v>176.33000183105401</v>
      </c>
      <c r="AH115">
        <v>174.5</v>
      </c>
      <c r="AI115">
        <v>175.44000244140599</v>
      </c>
      <c r="AJ115">
        <v>166.785552978515</v>
      </c>
      <c r="AK115">
        <v>5291700</v>
      </c>
      <c r="AL115">
        <v>0.1</v>
      </c>
      <c r="AM115">
        <v>-2.3315533004191198E-3</v>
      </c>
      <c r="AN115">
        <v>1.24282129431949E-2</v>
      </c>
      <c r="AO115">
        <v>177.68800201415999</v>
      </c>
      <c r="AP115">
        <v>62.330001831054602</v>
      </c>
      <c r="AQ115">
        <v>63</v>
      </c>
      <c r="AR115">
        <v>61.9799995422363</v>
      </c>
      <c r="AS115">
        <v>62.380001068115199</v>
      </c>
      <c r="AT115">
        <v>59.138641357421797</v>
      </c>
      <c r="AU115">
        <v>13145300</v>
      </c>
      <c r="AV115">
        <v>0.1</v>
      </c>
      <c r="AW115">
        <v>-4.6273673097660898E-3</v>
      </c>
      <c r="AX115">
        <v>1.35675859518828E-2</v>
      </c>
      <c r="AY115">
        <v>63.074999237060503</v>
      </c>
      <c r="AZ115">
        <v>2.1180000305175701</v>
      </c>
      <c r="BA115">
        <v>2.3229999542236301</v>
      </c>
      <c r="BB115">
        <v>2.0950000286102202</v>
      </c>
      <c r="BC115">
        <v>2.3229999542236301</v>
      </c>
      <c r="BD115">
        <v>2.3229999542236301</v>
      </c>
      <c r="BE115">
        <v>0</v>
      </c>
      <c r="BF115">
        <v>0.5</v>
      </c>
      <c r="BG115">
        <v>9.93847830041059E-2</v>
      </c>
      <c r="BH115">
        <v>6.4920219117243397E-2</v>
      </c>
      <c r="BI115">
        <v>1.8463000059127801</v>
      </c>
      <c r="BJ115">
        <f t="shared" si="1"/>
        <v>4.6029280882491995E-2</v>
      </c>
    </row>
    <row r="116" spans="1:62">
      <c r="A116" s="2">
        <v>44756</v>
      </c>
      <c r="B116">
        <v>144.08000183105401</v>
      </c>
      <c r="C116">
        <v>148.94999694824199</v>
      </c>
      <c r="D116">
        <v>143.25</v>
      </c>
      <c r="E116">
        <v>148.47000122070301</v>
      </c>
      <c r="F116">
        <v>147.00816345214801</v>
      </c>
      <c r="G116">
        <v>78140700</v>
      </c>
      <c r="H116">
        <v>0.1</v>
      </c>
      <c r="I116">
        <v>2.0482477249470499E-2</v>
      </c>
      <c r="J116">
        <v>1.9163998172332299E-2</v>
      </c>
      <c r="K116">
        <v>143.82099914550699</v>
      </c>
      <c r="L116">
        <v>110.21050262451099</v>
      </c>
      <c r="M116">
        <v>111.093002319335</v>
      </c>
      <c r="N116">
        <v>108.373001098632</v>
      </c>
      <c r="O116">
        <v>110.367500305175</v>
      </c>
      <c r="P116">
        <v>110.367500305175</v>
      </c>
      <c r="Q116">
        <v>37004000</v>
      </c>
      <c r="R116">
        <v>0.1</v>
      </c>
      <c r="S116">
        <v>-8.8546840269275694E-3</v>
      </c>
      <c r="T116">
        <v>2.65510775969377E-2</v>
      </c>
      <c r="U116">
        <v>113.508999633789</v>
      </c>
      <c r="V116">
        <v>250.57000732421801</v>
      </c>
      <c r="W116">
        <v>255.13999938964801</v>
      </c>
      <c r="X116">
        <v>245.94000244140599</v>
      </c>
      <c r="Y116">
        <v>254.08000183105401</v>
      </c>
      <c r="Z116">
        <v>250.14462280273401</v>
      </c>
      <c r="AA116">
        <v>25102800</v>
      </c>
      <c r="AB116">
        <v>0.1</v>
      </c>
      <c r="AC116">
        <v>5.3814522150301596E-3</v>
      </c>
      <c r="AD116">
        <v>2.0277586304257501E-2</v>
      </c>
      <c r="AE116">
        <v>260.65099792480402</v>
      </c>
      <c r="AF116">
        <v>172.52999877929599</v>
      </c>
      <c r="AG116">
        <v>176.009994506835</v>
      </c>
      <c r="AH116">
        <v>172.30000305175699</v>
      </c>
      <c r="AI116">
        <v>175.67999267578099</v>
      </c>
      <c r="AJ116">
        <v>167.01373291015599</v>
      </c>
      <c r="AK116">
        <v>5359600</v>
      </c>
      <c r="AL116">
        <v>0.1</v>
      </c>
      <c r="AM116">
        <v>1.3679333734344301E-3</v>
      </c>
      <c r="AN116">
        <v>1.1788091782757E-2</v>
      </c>
      <c r="AO116">
        <v>177.55700073242099</v>
      </c>
      <c r="AP116">
        <v>61.330001831054602</v>
      </c>
      <c r="AQ116">
        <v>62.25</v>
      </c>
      <c r="AR116">
        <v>61.299999237060497</v>
      </c>
      <c r="AS116">
        <v>62.180000305175703</v>
      </c>
      <c r="AT116">
        <v>58.949024200439403</v>
      </c>
      <c r="AU116">
        <v>14433000</v>
      </c>
      <c r="AV116">
        <v>0.1</v>
      </c>
      <c r="AW116">
        <v>-3.20616799478834E-3</v>
      </c>
      <c r="AX116">
        <v>1.08043476118728E-2</v>
      </c>
      <c r="AY116">
        <v>63.019999313354397</v>
      </c>
      <c r="AZ116">
        <v>2.3099999427795401</v>
      </c>
      <c r="BA116">
        <v>2.3629999160766602</v>
      </c>
      <c r="BB116">
        <v>2.25500011444091</v>
      </c>
      <c r="BC116">
        <v>2.2730000019073402</v>
      </c>
      <c r="BD116">
        <v>2.2730000019073402</v>
      </c>
      <c r="BE116">
        <v>0</v>
      </c>
      <c r="BF116">
        <v>0.5</v>
      </c>
      <c r="BG116">
        <v>-2.15238714169474E-2</v>
      </c>
      <c r="BH116">
        <v>5.6668477257912499E-2</v>
      </c>
      <c r="BI116">
        <v>1.9031000018119799</v>
      </c>
      <c r="BJ116">
        <f t="shared" si="1"/>
        <v>-9.2448346268517827E-3</v>
      </c>
    </row>
    <row r="117" spans="1:62">
      <c r="A117" s="2">
        <v>44757</v>
      </c>
      <c r="B117">
        <v>149.77999877929599</v>
      </c>
      <c r="C117">
        <v>150.86000061035099</v>
      </c>
      <c r="D117">
        <v>148.19999694824199</v>
      </c>
      <c r="E117">
        <v>150.169998168945</v>
      </c>
      <c r="F117">
        <v>148.69142150878901</v>
      </c>
      <c r="G117">
        <v>76259900</v>
      </c>
      <c r="H117">
        <v>0.1</v>
      </c>
      <c r="I117">
        <v>1.14501039554455E-2</v>
      </c>
      <c r="J117">
        <v>1.8919468688081399E-2</v>
      </c>
      <c r="K117">
        <v>145.16599884033201</v>
      </c>
      <c r="L117">
        <v>112.00050354003901</v>
      </c>
      <c r="M117">
        <v>113.140502929687</v>
      </c>
      <c r="N117">
        <v>110.900001525878</v>
      </c>
      <c r="O117">
        <v>111.77749633789</v>
      </c>
      <c r="P117">
        <v>111.77749633789</v>
      </c>
      <c r="Q117">
        <v>46770000</v>
      </c>
      <c r="R117">
        <v>0.1</v>
      </c>
      <c r="S117">
        <v>1.2775464052516099E-2</v>
      </c>
      <c r="T117">
        <v>2.5947663147180802E-2</v>
      </c>
      <c r="U117">
        <v>113.79044952392501</v>
      </c>
      <c r="V117">
        <v>255.72000122070301</v>
      </c>
      <c r="W117">
        <v>260.36999511718699</v>
      </c>
      <c r="X117">
        <v>254.77000427246</v>
      </c>
      <c r="Y117">
        <v>256.72000122070301</v>
      </c>
      <c r="Z117">
        <v>252.74374389648401</v>
      </c>
      <c r="AA117">
        <v>29774100</v>
      </c>
      <c r="AB117">
        <v>0.1</v>
      </c>
      <c r="AC117">
        <v>1.0390425734504801E-2</v>
      </c>
      <c r="AD117">
        <v>1.9330342467846599E-2</v>
      </c>
      <c r="AE117">
        <v>260.63999938964798</v>
      </c>
      <c r="AF117">
        <v>177.71000671386699</v>
      </c>
      <c r="AG117">
        <v>178.509994506835</v>
      </c>
      <c r="AH117">
        <v>176.55000305175699</v>
      </c>
      <c r="AI117">
        <v>178.22999572753901</v>
      </c>
      <c r="AJ117">
        <v>169.43792724609301</v>
      </c>
      <c r="AK117">
        <v>5691100</v>
      </c>
      <c r="AL117">
        <v>0.1</v>
      </c>
      <c r="AM117">
        <v>1.45150452986633E-2</v>
      </c>
      <c r="AN117">
        <v>1.19615852019985E-2</v>
      </c>
      <c r="AO117">
        <v>177.62900085449201</v>
      </c>
      <c r="AP117">
        <v>62.75</v>
      </c>
      <c r="AQ117">
        <v>62.970001220703097</v>
      </c>
      <c r="AR117">
        <v>62.069999694824197</v>
      </c>
      <c r="AS117">
        <v>62.5</v>
      </c>
      <c r="AT117">
        <v>59.252403259277301</v>
      </c>
      <c r="AU117">
        <v>21968400</v>
      </c>
      <c r="AV117">
        <v>0.1</v>
      </c>
      <c r="AW117">
        <v>5.1463443752601803E-3</v>
      </c>
      <c r="AX117">
        <v>1.07613901894562E-2</v>
      </c>
      <c r="AY117">
        <v>62.978999328613199</v>
      </c>
      <c r="AZ117">
        <v>2.2400000095367401</v>
      </c>
      <c r="BA117">
        <v>2.2880001068115199</v>
      </c>
      <c r="BB117">
        <v>2.2149999141693102</v>
      </c>
      <c r="BC117">
        <v>2.2400000095367401</v>
      </c>
      <c r="BD117">
        <v>2.2400000095367401</v>
      </c>
      <c r="BE117">
        <v>0</v>
      </c>
      <c r="BF117">
        <v>0.5</v>
      </c>
      <c r="BG117">
        <v>-1.45182544403493E-2</v>
      </c>
      <c r="BH117">
        <v>5.6228521172329397E-2</v>
      </c>
      <c r="BI117">
        <v>1.96710000038146</v>
      </c>
      <c r="BJ117">
        <f t="shared" si="1"/>
        <v>-1.8313888785356617E-3</v>
      </c>
    </row>
    <row r="118" spans="1:62">
      <c r="A118" s="2">
        <v>44760</v>
      </c>
      <c r="B118">
        <v>150.74000549316401</v>
      </c>
      <c r="C118">
        <v>151.57000732421801</v>
      </c>
      <c r="D118">
        <v>146.69999694824199</v>
      </c>
      <c r="E118">
        <v>147.07000732421801</v>
      </c>
      <c r="F118">
        <v>145.62196350097599</v>
      </c>
      <c r="G118">
        <v>81420900</v>
      </c>
      <c r="H118">
        <v>0.1</v>
      </c>
      <c r="I118">
        <v>-2.06432102452247E-2</v>
      </c>
      <c r="J118">
        <v>1.6910646707449701E-2</v>
      </c>
      <c r="K118">
        <v>145.980000305175</v>
      </c>
      <c r="L118">
        <v>112.639999389648</v>
      </c>
      <c r="M118">
        <v>113.680000305175</v>
      </c>
      <c r="N118">
        <v>108.370002746582</v>
      </c>
      <c r="O118">
        <v>109.02999877929599</v>
      </c>
      <c r="P118">
        <v>109.02999877929599</v>
      </c>
      <c r="Q118">
        <v>43164600</v>
      </c>
      <c r="R118">
        <v>0.1</v>
      </c>
      <c r="S118">
        <v>-2.4580059928058999E-2</v>
      </c>
      <c r="T118">
        <v>2.53539431684052E-2</v>
      </c>
      <c r="U118">
        <v>113.819699096679</v>
      </c>
      <c r="V118">
        <v>259.75</v>
      </c>
      <c r="W118">
        <v>260.83999633789</v>
      </c>
      <c r="X118">
        <v>253.30000305175699</v>
      </c>
      <c r="Y118">
        <v>254.25</v>
      </c>
      <c r="Z118">
        <v>250.31199645996</v>
      </c>
      <c r="AA118">
        <v>20975000</v>
      </c>
      <c r="AB118">
        <v>0.1</v>
      </c>
      <c r="AC118">
        <v>-9.6213820853780999E-3</v>
      </c>
      <c r="AD118">
        <v>1.8367100545841598E-2</v>
      </c>
      <c r="AE118">
        <v>260.107000732421</v>
      </c>
      <c r="AF118">
        <v>177.74000549316401</v>
      </c>
      <c r="AG118">
        <v>178.19000244140599</v>
      </c>
      <c r="AH118">
        <v>173.91000366210901</v>
      </c>
      <c r="AI118">
        <v>174.22999572753901</v>
      </c>
      <c r="AJ118">
        <v>165.63525390625</v>
      </c>
      <c r="AK118">
        <v>7605700</v>
      </c>
      <c r="AL118">
        <v>0.1</v>
      </c>
      <c r="AM118">
        <v>-2.2442911383529399E-2</v>
      </c>
      <c r="AN118">
        <v>1.31939457999663E-2</v>
      </c>
      <c r="AO118">
        <v>177.1</v>
      </c>
      <c r="AP118">
        <v>62.520000457763601</v>
      </c>
      <c r="AQ118">
        <v>62.560001373291001</v>
      </c>
      <c r="AR118">
        <v>61.509998321533203</v>
      </c>
      <c r="AS118">
        <v>61.650001525878899</v>
      </c>
      <c r="AT118">
        <v>58.446575164794901</v>
      </c>
      <c r="AU118">
        <v>10780800</v>
      </c>
      <c r="AV118">
        <v>0.1</v>
      </c>
      <c r="AW118">
        <v>-1.35999755859375E-2</v>
      </c>
      <c r="AX118">
        <v>1.1003343050457999E-2</v>
      </c>
      <c r="AY118">
        <v>62.705999755859303</v>
      </c>
      <c r="AZ118">
        <v>2.2530000209808301</v>
      </c>
      <c r="BA118">
        <v>2.3029999732971098</v>
      </c>
      <c r="BB118">
        <v>2.2479999065399099</v>
      </c>
      <c r="BC118">
        <v>2.2599999904632502</v>
      </c>
      <c r="BD118">
        <v>2.2599999904632502</v>
      </c>
      <c r="BE118">
        <v>0</v>
      </c>
      <c r="BF118">
        <v>0.5</v>
      </c>
      <c r="BG118">
        <v>8.9285628756090498E-3</v>
      </c>
      <c r="BH118">
        <v>4.5564134271462997E-2</v>
      </c>
      <c r="BI118">
        <v>2.03279999494552</v>
      </c>
      <c r="BJ118">
        <f t="shared" si="1"/>
        <v>-4.6244724850083452E-3</v>
      </c>
    </row>
    <row r="119" spans="1:62">
      <c r="A119" s="2">
        <v>44761</v>
      </c>
      <c r="B119">
        <v>147.919998168945</v>
      </c>
      <c r="C119">
        <v>151.22999572753901</v>
      </c>
      <c r="D119">
        <v>146.91000366210901</v>
      </c>
      <c r="E119">
        <v>151</v>
      </c>
      <c r="F119">
        <v>149.51324462890599</v>
      </c>
      <c r="G119">
        <v>82982400</v>
      </c>
      <c r="H119">
        <v>0.1</v>
      </c>
      <c r="I119">
        <v>2.6721917998667698E-2</v>
      </c>
      <c r="J119">
        <v>1.7489169551809899E-2</v>
      </c>
      <c r="K119">
        <v>146.92400054931599</v>
      </c>
      <c r="L119">
        <v>110.84999847412099</v>
      </c>
      <c r="M119">
        <v>114.01999664306599</v>
      </c>
      <c r="N119">
        <v>109.559997558593</v>
      </c>
      <c r="O119">
        <v>113.809997558593</v>
      </c>
      <c r="P119">
        <v>113.809997558593</v>
      </c>
      <c r="Q119">
        <v>36530900</v>
      </c>
      <c r="R119">
        <v>0.1</v>
      </c>
      <c r="S119">
        <v>4.3841133933906998E-2</v>
      </c>
      <c r="T119">
        <v>2.7005983011590001E-2</v>
      </c>
      <c r="U119">
        <v>113.87439880370999</v>
      </c>
      <c r="V119">
        <v>257.579986572265</v>
      </c>
      <c r="W119">
        <v>259.72000122070301</v>
      </c>
      <c r="X119">
        <v>253.67999267578099</v>
      </c>
      <c r="Y119">
        <v>259.52999877929602</v>
      </c>
      <c r="Z119">
        <v>255.51022338867099</v>
      </c>
      <c r="AA119">
        <v>25012600</v>
      </c>
      <c r="AB119">
        <v>0.1</v>
      </c>
      <c r="AC119">
        <v>2.0766956850725101E-2</v>
      </c>
      <c r="AD119">
        <v>1.8745765680131601E-2</v>
      </c>
      <c r="AE119">
        <v>259.77499999999998</v>
      </c>
      <c r="AF119">
        <v>176.33000183105401</v>
      </c>
      <c r="AG119">
        <v>176.75</v>
      </c>
      <c r="AH119">
        <v>169.88000488281199</v>
      </c>
      <c r="AI119">
        <v>171.69000244140599</v>
      </c>
      <c r="AJ119">
        <v>163.22056579589801</v>
      </c>
      <c r="AK119">
        <v>13256400</v>
      </c>
      <c r="AL119">
        <v>0.1</v>
      </c>
      <c r="AM119">
        <v>-1.4578392632832501E-2</v>
      </c>
      <c r="AN119">
        <v>1.3628480179284801E-2</v>
      </c>
      <c r="AO119">
        <v>176.45500030517499</v>
      </c>
      <c r="AP119">
        <v>62.090000152587798</v>
      </c>
      <c r="AQ119">
        <v>62.650001525878899</v>
      </c>
      <c r="AR119">
        <v>61.930000305175703</v>
      </c>
      <c r="AS119">
        <v>62.529998779296797</v>
      </c>
      <c r="AT119">
        <v>59.280845642089801</v>
      </c>
      <c r="AU119">
        <v>10998200</v>
      </c>
      <c r="AV119">
        <v>0.1</v>
      </c>
      <c r="AW119">
        <v>1.4274083238239E-2</v>
      </c>
      <c r="AX119">
        <v>1.13037418109268E-2</v>
      </c>
      <c r="AY119">
        <v>62.6309997558593</v>
      </c>
      <c r="AZ119">
        <v>2.4300000667571999</v>
      </c>
      <c r="BA119">
        <v>2.45000004768371</v>
      </c>
      <c r="BB119">
        <v>2.3980000019073402</v>
      </c>
      <c r="BC119">
        <v>2.45000004768371</v>
      </c>
      <c r="BD119">
        <v>2.45000004768371</v>
      </c>
      <c r="BE119">
        <v>0</v>
      </c>
      <c r="BF119">
        <v>0.5</v>
      </c>
      <c r="BG119">
        <v>8.4070822133726006E-2</v>
      </c>
      <c r="BH119">
        <v>4.7592544962559699E-2</v>
      </c>
      <c r="BI119">
        <v>2.1148000001907299</v>
      </c>
      <c r="BJ119">
        <f t="shared" si="1"/>
        <v>5.1137981005733628E-2</v>
      </c>
    </row>
    <row r="120" spans="1:62">
      <c r="A120" s="2">
        <v>44762</v>
      </c>
      <c r="B120">
        <v>151.11999511718699</v>
      </c>
      <c r="C120">
        <v>153.72000122070301</v>
      </c>
      <c r="D120">
        <v>150.36999511718699</v>
      </c>
      <c r="E120">
        <v>153.03999328613199</v>
      </c>
      <c r="F120">
        <v>151.53315734863199</v>
      </c>
      <c r="G120">
        <v>64823400</v>
      </c>
      <c r="H120">
        <v>0.1</v>
      </c>
      <c r="I120">
        <v>1.3509889312137899E-2</v>
      </c>
      <c r="J120">
        <v>1.6502138549492899E-2</v>
      </c>
      <c r="K120">
        <v>147.936000061035</v>
      </c>
      <c r="L120">
        <v>113.169998168945</v>
      </c>
      <c r="M120">
        <v>115.400001525878</v>
      </c>
      <c r="N120">
        <v>112.480003356933</v>
      </c>
      <c r="O120">
        <v>113.900001525878</v>
      </c>
      <c r="P120">
        <v>113.900001525878</v>
      </c>
      <c r="Q120">
        <v>35600400</v>
      </c>
      <c r="R120">
        <v>0.1</v>
      </c>
      <c r="S120">
        <v>7.9082654613737903E-4</v>
      </c>
      <c r="T120">
        <v>2.55063806694623E-2</v>
      </c>
      <c r="U120">
        <v>113.807199096679</v>
      </c>
      <c r="V120">
        <v>259.89999389648398</v>
      </c>
      <c r="W120">
        <v>264.86999511718699</v>
      </c>
      <c r="X120">
        <v>258.91000366210898</v>
      </c>
      <c r="Y120">
        <v>262.26998901367102</v>
      </c>
      <c r="Z120">
        <v>258.207763671875</v>
      </c>
      <c r="AA120">
        <v>22788300</v>
      </c>
      <c r="AB120">
        <v>0.1</v>
      </c>
      <c r="AC120">
        <v>1.0557508755298199E-2</v>
      </c>
      <c r="AD120">
        <v>1.81283423566082E-2</v>
      </c>
      <c r="AE120">
        <v>259.38099975585902</v>
      </c>
      <c r="AF120">
        <v>172.19999694824199</v>
      </c>
      <c r="AG120">
        <v>172.55000305175699</v>
      </c>
      <c r="AH120">
        <v>169.759994506835</v>
      </c>
      <c r="AI120">
        <v>170.71000671386699</v>
      </c>
      <c r="AJ120">
        <v>162.28890991210901</v>
      </c>
      <c r="AK120">
        <v>7455800</v>
      </c>
      <c r="AL120">
        <v>0.1</v>
      </c>
      <c r="AM120">
        <v>-5.7079370586735597E-3</v>
      </c>
      <c r="AN120">
        <v>1.2828318166898001E-2</v>
      </c>
      <c r="AO120">
        <v>175.696000671386</v>
      </c>
      <c r="AP120">
        <v>62.400001525878899</v>
      </c>
      <c r="AQ120">
        <v>62.580001831054602</v>
      </c>
      <c r="AR120">
        <v>61.150001525878899</v>
      </c>
      <c r="AS120">
        <v>61.5</v>
      </c>
      <c r="AT120">
        <v>58.304359436035099</v>
      </c>
      <c r="AU120">
        <v>11010500</v>
      </c>
      <c r="AV120">
        <v>0.1</v>
      </c>
      <c r="AW120">
        <v>-1.6472074194856599E-2</v>
      </c>
      <c r="AX120">
        <v>1.1163891319971E-2</v>
      </c>
      <c r="AY120">
        <v>62.439999771118103</v>
      </c>
      <c r="AZ120">
        <v>2.3980000019073402</v>
      </c>
      <c r="BA120">
        <v>2.4049999713897701</v>
      </c>
      <c r="BB120">
        <v>2.3780000209808301</v>
      </c>
      <c r="BC120">
        <v>2.3780000209808301</v>
      </c>
      <c r="BD120">
        <v>2.3780000209808301</v>
      </c>
      <c r="BE120">
        <v>0</v>
      </c>
      <c r="BF120">
        <v>0.5</v>
      </c>
      <c r="BG120">
        <v>-2.93877654292094E-2</v>
      </c>
      <c r="BH120">
        <v>4.8358845544020902E-2</v>
      </c>
      <c r="BI120">
        <v>2.1685999989509499</v>
      </c>
      <c r="BJ120">
        <f t="shared" si="1"/>
        <v>-1.4426061378600367E-2</v>
      </c>
    </row>
    <row r="121" spans="1:62">
      <c r="A121" s="2">
        <v>44763</v>
      </c>
      <c r="B121">
        <v>154.5</v>
      </c>
      <c r="C121">
        <v>155.57000732421801</v>
      </c>
      <c r="D121">
        <v>151.94000244140599</v>
      </c>
      <c r="E121">
        <v>155.350006103515</v>
      </c>
      <c r="F121">
        <v>153.82043457031199</v>
      </c>
      <c r="G121">
        <v>65086600</v>
      </c>
      <c r="H121">
        <v>0.1</v>
      </c>
      <c r="I121">
        <v>1.50941774615991E-2</v>
      </c>
      <c r="J121">
        <v>1.64455056979575E-2</v>
      </c>
      <c r="K121">
        <v>148.83600006103501</v>
      </c>
      <c r="L121">
        <v>114.27999877929599</v>
      </c>
      <c r="M121">
        <v>114.550003051757</v>
      </c>
      <c r="N121">
        <v>111.11000061035099</v>
      </c>
      <c r="O121">
        <v>114.33999633789</v>
      </c>
      <c r="P121">
        <v>114.33999633789</v>
      </c>
      <c r="Q121">
        <v>32676200</v>
      </c>
      <c r="R121">
        <v>0.1</v>
      </c>
      <c r="S121">
        <v>3.8629921520392202E-3</v>
      </c>
      <c r="T121">
        <v>2.5508341904777101E-2</v>
      </c>
      <c r="U121">
        <v>113.36289901733301</v>
      </c>
      <c r="V121">
        <v>259.79000854492102</v>
      </c>
      <c r="W121">
        <v>264.89001464843699</v>
      </c>
      <c r="X121">
        <v>257.02999877929602</v>
      </c>
      <c r="Y121">
        <v>264.83999633789</v>
      </c>
      <c r="Z121">
        <v>260.73791503906199</v>
      </c>
      <c r="AA121">
        <v>22404700</v>
      </c>
      <c r="AB121">
        <v>0.1</v>
      </c>
      <c r="AC121">
        <v>9.7990903720392899E-3</v>
      </c>
      <c r="AD121">
        <v>1.8184263452473402E-2</v>
      </c>
      <c r="AE121">
        <v>259.02499999999998</v>
      </c>
      <c r="AF121">
        <v>170.05000305175699</v>
      </c>
      <c r="AG121">
        <v>171.38999938964801</v>
      </c>
      <c r="AH121">
        <v>169.77000427246</v>
      </c>
      <c r="AI121">
        <v>171.30999755859301</v>
      </c>
      <c r="AJ121">
        <v>162.85931396484301</v>
      </c>
      <c r="AK121">
        <v>5729200</v>
      </c>
      <c r="AL121">
        <v>0.1</v>
      </c>
      <c r="AM121">
        <v>3.51467881863665E-3</v>
      </c>
      <c r="AN121">
        <v>1.2286286134936399E-2</v>
      </c>
      <c r="AO121">
        <v>174.977000427246</v>
      </c>
      <c r="AP121">
        <v>61.259998321533203</v>
      </c>
      <c r="AQ121">
        <v>61.880001068115199</v>
      </c>
      <c r="AR121">
        <v>60.790000915527301</v>
      </c>
      <c r="AS121">
        <v>61.360000610351499</v>
      </c>
      <c r="AT121">
        <v>58.171642303466797</v>
      </c>
      <c r="AU121">
        <v>11959600</v>
      </c>
      <c r="AV121">
        <v>0.1</v>
      </c>
      <c r="AW121">
        <v>-2.2764128398119398E-3</v>
      </c>
      <c r="AX121">
        <v>1.10676869293715E-2</v>
      </c>
      <c r="AY121">
        <v>62.284999847412102</v>
      </c>
      <c r="AZ121">
        <v>2.4130001068115199</v>
      </c>
      <c r="BA121">
        <v>2.4149999618530198</v>
      </c>
      <c r="BB121">
        <v>2.3329999446868799</v>
      </c>
      <c r="BC121">
        <v>2.3599998950958199</v>
      </c>
      <c r="BD121">
        <v>2.3599998950958199</v>
      </c>
      <c r="BE121">
        <v>0</v>
      </c>
      <c r="BF121">
        <v>0.5</v>
      </c>
      <c r="BG121">
        <v>-7.5694389092501001E-3</v>
      </c>
      <c r="BH121">
        <v>4.8770217499540899E-2</v>
      </c>
      <c r="BI121">
        <v>2.2192999839782699</v>
      </c>
      <c r="BJ121">
        <f t="shared" si="1"/>
        <v>-7.8526685817481806E-4</v>
      </c>
    </row>
    <row r="122" spans="1:62">
      <c r="A122" s="2">
        <v>44764</v>
      </c>
      <c r="B122">
        <v>155.38999938964801</v>
      </c>
      <c r="C122">
        <v>156.27999877929599</v>
      </c>
      <c r="D122">
        <v>153.41000366210901</v>
      </c>
      <c r="E122">
        <v>154.08999633789</v>
      </c>
      <c r="F122">
        <v>152.572830200195</v>
      </c>
      <c r="G122">
        <v>66675400</v>
      </c>
      <c r="H122">
        <v>0.1</v>
      </c>
      <c r="I122">
        <v>-8.1107802775715002E-3</v>
      </c>
      <c r="J122">
        <v>1.6404589624968598E-2</v>
      </c>
      <c r="K122">
        <v>149.54100036621</v>
      </c>
      <c r="L122">
        <v>111</v>
      </c>
      <c r="M122">
        <v>112.33999633789</v>
      </c>
      <c r="N122">
        <v>106.5</v>
      </c>
      <c r="O122">
        <v>107.900001525878</v>
      </c>
      <c r="P122">
        <v>107.900001525878</v>
      </c>
      <c r="Q122">
        <v>48901200</v>
      </c>
      <c r="R122">
        <v>0.1</v>
      </c>
      <c r="S122">
        <v>-5.63232028885206E-2</v>
      </c>
      <c r="T122">
        <v>2.8551353802043999E-2</v>
      </c>
      <c r="U122">
        <v>112.2175491333</v>
      </c>
      <c r="V122">
        <v>265.239990234375</v>
      </c>
      <c r="W122">
        <v>265.329986572265</v>
      </c>
      <c r="X122">
        <v>259.07000732421801</v>
      </c>
      <c r="Y122">
        <v>260.35998535156199</v>
      </c>
      <c r="Z122">
        <v>256.32736206054602</v>
      </c>
      <c r="AA122">
        <v>21881300</v>
      </c>
      <c r="AB122">
        <v>0.1</v>
      </c>
      <c r="AC122">
        <v>-1.6915915451880599E-2</v>
      </c>
      <c r="AD122">
        <v>1.80201234050405E-2</v>
      </c>
      <c r="AE122">
        <v>258.29499816894503</v>
      </c>
      <c r="AF122">
        <v>171.600006103515</v>
      </c>
      <c r="AG122">
        <v>172.49000549316401</v>
      </c>
      <c r="AH122">
        <v>171.05999755859301</v>
      </c>
      <c r="AI122">
        <v>172.11999511718699</v>
      </c>
      <c r="AJ122">
        <v>163.62931823730401</v>
      </c>
      <c r="AK122">
        <v>4257000</v>
      </c>
      <c r="AL122">
        <v>0.1</v>
      </c>
      <c r="AM122">
        <v>4.7282562030081998E-3</v>
      </c>
      <c r="AN122">
        <v>1.1086150645011899E-2</v>
      </c>
      <c r="AO122">
        <v>174.36100006103501</v>
      </c>
      <c r="AP122">
        <v>61.380001068115199</v>
      </c>
      <c r="AQ122">
        <v>61.869998931884702</v>
      </c>
      <c r="AR122">
        <v>61.319999694824197</v>
      </c>
      <c r="AS122">
        <v>61.590000152587798</v>
      </c>
      <c r="AT122">
        <v>58.389682769775298</v>
      </c>
      <c r="AU122">
        <v>11644700</v>
      </c>
      <c r="AV122">
        <v>0.1</v>
      </c>
      <c r="AW122">
        <v>3.7483627762142598E-3</v>
      </c>
      <c r="AX122">
        <v>1.07588958772063E-2</v>
      </c>
      <c r="AY122">
        <v>62.129999923706002</v>
      </c>
      <c r="AZ122">
        <v>2.3550000190734801</v>
      </c>
      <c r="BA122">
        <v>2.375</v>
      </c>
      <c r="BB122">
        <v>2.3029999732971098</v>
      </c>
      <c r="BC122">
        <v>2.3550000190734801</v>
      </c>
      <c r="BD122">
        <v>2.3550000190734801</v>
      </c>
      <c r="BE122">
        <v>0</v>
      </c>
      <c r="BF122">
        <v>0.5</v>
      </c>
      <c r="BG122">
        <v>-2.1185916290626899E-3</v>
      </c>
      <c r="BH122">
        <v>4.9004570930727603E-2</v>
      </c>
      <c r="BI122">
        <v>2.2704999804496699</v>
      </c>
      <c r="BJ122">
        <f t="shared" si="1"/>
        <v>-8.3466237784063698E-3</v>
      </c>
    </row>
    <row r="123" spans="1:62">
      <c r="A123" s="2">
        <v>44767</v>
      </c>
      <c r="B123">
        <v>154.009994506835</v>
      </c>
      <c r="C123">
        <v>155.03999328613199</v>
      </c>
      <c r="D123">
        <v>152.27999877929599</v>
      </c>
      <c r="E123">
        <v>152.94999694824199</v>
      </c>
      <c r="F123">
        <v>151.44404602050699</v>
      </c>
      <c r="G123">
        <v>53623900</v>
      </c>
      <c r="H123">
        <v>0.1</v>
      </c>
      <c r="I123">
        <v>-7.3982699509488299E-3</v>
      </c>
      <c r="J123">
        <v>1.6010947404334602E-2</v>
      </c>
      <c r="K123">
        <v>150.349000549316</v>
      </c>
      <c r="L123">
        <v>108.41000366210901</v>
      </c>
      <c r="M123">
        <v>109.870002746582</v>
      </c>
      <c r="N123">
        <v>106.300003051757</v>
      </c>
      <c r="O123">
        <v>107.51000213623</v>
      </c>
      <c r="P123">
        <v>107.51000213623</v>
      </c>
      <c r="Q123">
        <v>34690900</v>
      </c>
      <c r="R123">
        <v>0.1</v>
      </c>
      <c r="S123">
        <v>-3.61445212357014E-3</v>
      </c>
      <c r="T123">
        <v>2.5720890783552001E-2</v>
      </c>
      <c r="U123">
        <v>111.400899505615</v>
      </c>
      <c r="V123">
        <v>261</v>
      </c>
      <c r="W123">
        <v>261.5</v>
      </c>
      <c r="X123">
        <v>256.80999755859301</v>
      </c>
      <c r="Y123">
        <v>258.829986572265</v>
      </c>
      <c r="Z123">
        <v>254.82107543945301</v>
      </c>
      <c r="AA123">
        <v>21056000</v>
      </c>
      <c r="AB123">
        <v>0.1</v>
      </c>
      <c r="AC123">
        <v>-5.8764743638732801E-3</v>
      </c>
      <c r="AD123">
        <v>1.6211665339215101E-2</v>
      </c>
      <c r="AE123">
        <v>257.72699584960901</v>
      </c>
      <c r="AF123">
        <v>172.11999511718699</v>
      </c>
      <c r="AG123">
        <v>172.97999572753901</v>
      </c>
      <c r="AH123">
        <v>171.72000122070301</v>
      </c>
      <c r="AI123">
        <v>172.46000671386699</v>
      </c>
      <c r="AJ123">
        <v>163.95257568359301</v>
      </c>
      <c r="AK123">
        <v>4437300</v>
      </c>
      <c r="AL123">
        <v>0.1</v>
      </c>
      <c r="AM123">
        <v>1.97543345529482E-3</v>
      </c>
      <c r="AN123">
        <v>1.04226463436797E-2</v>
      </c>
      <c r="AO123">
        <v>173.77200012207001</v>
      </c>
      <c r="AP123">
        <v>61.549999237060497</v>
      </c>
      <c r="AQ123">
        <v>62.299999237060497</v>
      </c>
      <c r="AR123">
        <v>61.310001373291001</v>
      </c>
      <c r="AS123">
        <v>62.189998626708899</v>
      </c>
      <c r="AT123">
        <v>58.958511352538999</v>
      </c>
      <c r="AU123">
        <v>14941700</v>
      </c>
      <c r="AV123">
        <v>0.1</v>
      </c>
      <c r="AW123">
        <v>9.7418164090698998E-3</v>
      </c>
      <c r="AX123">
        <v>1.00930394123185E-2</v>
      </c>
      <c r="AY123">
        <v>62.054999923705999</v>
      </c>
      <c r="AZ123">
        <v>2.3900001049041699</v>
      </c>
      <c r="BA123">
        <v>2.4279999732971098</v>
      </c>
      <c r="BB123">
        <v>2.3650000095367401</v>
      </c>
      <c r="BC123">
        <v>2.3929998874664302</v>
      </c>
      <c r="BD123">
        <v>2.3929998874664302</v>
      </c>
      <c r="BE123">
        <v>0</v>
      </c>
      <c r="BF123">
        <v>0.5</v>
      </c>
      <c r="BG123">
        <v>1.6135825089247598E-2</v>
      </c>
      <c r="BH123">
        <v>4.9017387399673901E-2</v>
      </c>
      <c r="BI123">
        <v>2.3144999742507899</v>
      </c>
      <c r="BJ123">
        <f t="shared" si="1"/>
        <v>7.550717887221046E-3</v>
      </c>
    </row>
    <row r="124" spans="1:62">
      <c r="A124" s="2">
        <v>44768</v>
      </c>
      <c r="B124">
        <v>152.259994506835</v>
      </c>
      <c r="C124">
        <v>153.08999633789</v>
      </c>
      <c r="D124">
        <v>150.80000305175699</v>
      </c>
      <c r="E124">
        <v>151.600006103515</v>
      </c>
      <c r="F124">
        <v>150.10739135742099</v>
      </c>
      <c r="G124">
        <v>55138700</v>
      </c>
      <c r="H124">
        <v>0.1</v>
      </c>
      <c r="I124">
        <v>-8.8263541788980993E-3</v>
      </c>
      <c r="J124">
        <v>1.6245861834405802E-2</v>
      </c>
      <c r="K124">
        <v>150.923001098632</v>
      </c>
      <c r="L124">
        <v>106.59999847412099</v>
      </c>
      <c r="M124">
        <v>107.199996948242</v>
      </c>
      <c r="N124">
        <v>104.06999969482401</v>
      </c>
      <c r="O124">
        <v>105.01999664306599</v>
      </c>
      <c r="P124">
        <v>105.01999664306599</v>
      </c>
      <c r="Q124">
        <v>47991000</v>
      </c>
      <c r="R124">
        <v>0.1</v>
      </c>
      <c r="S124">
        <v>-2.3160686854129801E-2</v>
      </c>
      <c r="T124">
        <v>2.5886512123493799E-2</v>
      </c>
      <c r="U124">
        <v>110.50084915161101</v>
      </c>
      <c r="V124">
        <v>259.85998535156199</v>
      </c>
      <c r="W124">
        <v>259.88000488281199</v>
      </c>
      <c r="X124">
        <v>249.57000732421801</v>
      </c>
      <c r="Y124">
        <v>251.89999389648401</v>
      </c>
      <c r="Z124">
        <v>247.99838256835901</v>
      </c>
      <c r="AA124">
        <v>39348000</v>
      </c>
      <c r="AB124">
        <v>0.1</v>
      </c>
      <c r="AC124">
        <v>-2.6774303733336498E-2</v>
      </c>
      <c r="AD124">
        <v>1.7069953152750901E-2</v>
      </c>
      <c r="AE124">
        <v>257.549995422363</v>
      </c>
      <c r="AF124">
        <v>172.55999755859301</v>
      </c>
      <c r="AG124">
        <v>174.97999572753901</v>
      </c>
      <c r="AH124">
        <v>172.49000549316401</v>
      </c>
      <c r="AI124">
        <v>173.67999267578099</v>
      </c>
      <c r="AJ124">
        <v>165.112380981445</v>
      </c>
      <c r="AK124">
        <v>4525500</v>
      </c>
      <c r="AL124">
        <v>0.1</v>
      </c>
      <c r="AM124">
        <v>7.0740224656153901E-3</v>
      </c>
      <c r="AN124">
        <v>1.06461124721097E-2</v>
      </c>
      <c r="AO124">
        <v>173.554998779296</v>
      </c>
      <c r="AP124">
        <v>62.75</v>
      </c>
      <c r="AQ124">
        <v>63.799999237060497</v>
      </c>
      <c r="AR124">
        <v>62.529998779296797</v>
      </c>
      <c r="AS124">
        <v>63.209999084472599</v>
      </c>
      <c r="AT124">
        <v>59.925510406494098</v>
      </c>
      <c r="AU124">
        <v>20118000</v>
      </c>
      <c r="AV124">
        <v>0.1</v>
      </c>
      <c r="AW124">
        <v>1.6401358422375199E-2</v>
      </c>
      <c r="AX124">
        <v>1.0776433111122301E-2</v>
      </c>
      <c r="AY124">
        <v>62.109000015258701</v>
      </c>
      <c r="AZ124">
        <v>2.4800000190734801</v>
      </c>
      <c r="BA124">
        <v>2.4849998950958199</v>
      </c>
      <c r="BB124">
        <v>2.125</v>
      </c>
      <c r="BC124">
        <v>2.4749999046325599</v>
      </c>
      <c r="BD124">
        <v>2.4749999046325599</v>
      </c>
      <c r="BE124">
        <v>0</v>
      </c>
      <c r="BF124">
        <v>0.5</v>
      </c>
      <c r="BG124">
        <v>3.4266619733507003E-2</v>
      </c>
      <c r="BH124">
        <v>4.9100718165811297E-2</v>
      </c>
      <c r="BI124">
        <v>2.35069997310638</v>
      </c>
      <c r="BJ124">
        <f t="shared" si="1"/>
        <v>1.3604713478916119E-2</v>
      </c>
    </row>
    <row r="125" spans="1:62">
      <c r="A125" s="2">
        <v>44769</v>
      </c>
      <c r="B125">
        <v>152.58000183105401</v>
      </c>
      <c r="C125">
        <v>157.33000183105401</v>
      </c>
      <c r="D125">
        <v>152.16000366210901</v>
      </c>
      <c r="E125">
        <v>156.78999328613199</v>
      </c>
      <c r="F125">
        <v>155.24624633789</v>
      </c>
      <c r="G125">
        <v>78620700</v>
      </c>
      <c r="H125">
        <v>0.1</v>
      </c>
      <c r="I125">
        <v>3.4234742570348801E-2</v>
      </c>
      <c r="J125">
        <v>1.5632744884493701E-2</v>
      </c>
      <c r="K125">
        <v>152.05299987792901</v>
      </c>
      <c r="L125">
        <v>109.26000213623</v>
      </c>
      <c r="M125">
        <v>113.91000366210901</v>
      </c>
      <c r="N125">
        <v>108.01000213623</v>
      </c>
      <c r="O125">
        <v>113.059997558593</v>
      </c>
      <c r="P125">
        <v>113.059997558593</v>
      </c>
      <c r="Q125">
        <v>59858500</v>
      </c>
      <c r="R125">
        <v>0.1</v>
      </c>
      <c r="S125">
        <v>7.6556857479752799E-2</v>
      </c>
      <c r="T125">
        <v>3.0696430189037099E-2</v>
      </c>
      <c r="U125">
        <v>110.67149887084901</v>
      </c>
      <c r="V125">
        <v>261.16000366210898</v>
      </c>
      <c r="W125">
        <v>270.04998779296801</v>
      </c>
      <c r="X125">
        <v>258.850006103515</v>
      </c>
      <c r="Y125">
        <v>268.739990234375</v>
      </c>
      <c r="Z125">
        <v>264.57751464843699</v>
      </c>
      <c r="AA125">
        <v>45994000</v>
      </c>
      <c r="AB125">
        <v>0.1</v>
      </c>
      <c r="AC125">
        <v>6.6851912449076206E-2</v>
      </c>
      <c r="AD125">
        <v>2.1738790527011501E-2</v>
      </c>
      <c r="AE125">
        <v>259.15199432372998</v>
      </c>
      <c r="AF125">
        <v>172.63000488281199</v>
      </c>
      <c r="AG125">
        <v>174.100006103515</v>
      </c>
      <c r="AH125">
        <v>171.13000488281199</v>
      </c>
      <c r="AI125">
        <v>173.19999694824199</v>
      </c>
      <c r="AJ125">
        <v>164.65606689453099</v>
      </c>
      <c r="AK125">
        <v>4648500</v>
      </c>
      <c r="AL125">
        <v>0.1</v>
      </c>
      <c r="AM125">
        <v>-2.7636788794382899E-3</v>
      </c>
      <c r="AN125">
        <v>8.6998140340306604E-3</v>
      </c>
      <c r="AO125">
        <v>173.33099822998</v>
      </c>
      <c r="AP125">
        <v>62.880001068115199</v>
      </c>
      <c r="AQ125">
        <v>63.189998626708899</v>
      </c>
      <c r="AR125">
        <v>61.790000915527301</v>
      </c>
      <c r="AS125">
        <v>63.009998321533203</v>
      </c>
      <c r="AT125">
        <v>59.7359008789062</v>
      </c>
      <c r="AU125">
        <v>12142900</v>
      </c>
      <c r="AV125">
        <v>0.1</v>
      </c>
      <c r="AW125">
        <v>-3.1640684359475202E-3</v>
      </c>
      <c r="AX125">
        <v>1.0537810377503501E-2</v>
      </c>
      <c r="AY125">
        <v>62.171999740600498</v>
      </c>
      <c r="AZ125">
        <v>2.46000003814697</v>
      </c>
      <c r="BA125">
        <v>2.4630000591278001</v>
      </c>
      <c r="BB125">
        <v>2.3180000782012899</v>
      </c>
      <c r="BC125">
        <v>2.3829998970031698</v>
      </c>
      <c r="BD125">
        <v>2.3829998970031698</v>
      </c>
      <c r="BE125">
        <v>0</v>
      </c>
      <c r="BF125">
        <v>0.5</v>
      </c>
      <c r="BG125">
        <v>-3.7171721686612501E-2</v>
      </c>
      <c r="BH125">
        <v>4.9750233183238103E-2</v>
      </c>
      <c r="BI125">
        <v>2.3566999673843299</v>
      </c>
      <c r="BJ125">
        <f t="shared" si="1"/>
        <v>-1.414284324927048E-3</v>
      </c>
    </row>
    <row r="126" spans="1:62">
      <c r="A126" s="2">
        <v>44770</v>
      </c>
      <c r="B126">
        <v>156.97999572753901</v>
      </c>
      <c r="C126">
        <v>157.63999938964801</v>
      </c>
      <c r="D126">
        <v>154.41000366210901</v>
      </c>
      <c r="E126">
        <v>157.350006103515</v>
      </c>
      <c r="F126">
        <v>155.80073547363199</v>
      </c>
      <c r="G126">
        <v>81378700</v>
      </c>
      <c r="H126">
        <v>0.1</v>
      </c>
      <c r="I126">
        <v>3.5717382573059401E-3</v>
      </c>
      <c r="J126">
        <v>1.5575014570776299E-2</v>
      </c>
      <c r="K126">
        <v>152.94100036621001</v>
      </c>
      <c r="L126">
        <v>112.370002746582</v>
      </c>
      <c r="M126">
        <v>114.33999633789</v>
      </c>
      <c r="N126">
        <v>111.459999084472</v>
      </c>
      <c r="O126">
        <v>114.220001220703</v>
      </c>
      <c r="P126">
        <v>114.220001220703</v>
      </c>
      <c r="Q126">
        <v>32816600</v>
      </c>
      <c r="R126">
        <v>0.1</v>
      </c>
      <c r="S126">
        <v>1.02600715297929E-2</v>
      </c>
      <c r="T126">
        <v>3.07527252525868E-2</v>
      </c>
      <c r="U126">
        <v>111.056748962402</v>
      </c>
      <c r="V126">
        <v>269.75</v>
      </c>
      <c r="W126">
        <v>277.83999633789</v>
      </c>
      <c r="X126">
        <v>267.86999511718699</v>
      </c>
      <c r="Y126">
        <v>276.41000366210898</v>
      </c>
      <c r="Z126">
        <v>272.12878417968699</v>
      </c>
      <c r="AA126">
        <v>33459300</v>
      </c>
      <c r="AB126">
        <v>0.1</v>
      </c>
      <c r="AC126">
        <v>2.8540647862066001E-2</v>
      </c>
      <c r="AD126">
        <v>2.23561102640179E-2</v>
      </c>
      <c r="AE126">
        <v>261.38499450683503</v>
      </c>
      <c r="AF126">
        <v>173.39999389648401</v>
      </c>
      <c r="AG126">
        <v>176.08999633789</v>
      </c>
      <c r="AH126">
        <v>171.44000244140599</v>
      </c>
      <c r="AI126">
        <v>174.19999694824199</v>
      </c>
      <c r="AJ126">
        <v>165.60673522949199</v>
      </c>
      <c r="AK126">
        <v>5513000</v>
      </c>
      <c r="AL126">
        <v>0.1</v>
      </c>
      <c r="AM126">
        <v>5.7736721571583997E-3</v>
      </c>
      <c r="AN126">
        <v>8.8291510992152492E-3</v>
      </c>
      <c r="AO126">
        <v>173.18299865722599</v>
      </c>
      <c r="AP126">
        <v>62.919998168945298</v>
      </c>
      <c r="AQ126">
        <v>64.25</v>
      </c>
      <c r="AR126">
        <v>62.889999389648402</v>
      </c>
      <c r="AS126">
        <v>64.059997558593693</v>
      </c>
      <c r="AT126">
        <v>60.731346130371001</v>
      </c>
      <c r="AU126">
        <v>10837000</v>
      </c>
      <c r="AV126">
        <v>0.1</v>
      </c>
      <c r="AW126">
        <v>1.6664009919544899E-2</v>
      </c>
      <c r="AX126">
        <v>1.10474946728049E-2</v>
      </c>
      <c r="AY126">
        <v>62.359999465942302</v>
      </c>
      <c r="AZ126">
        <v>2.34800004959106</v>
      </c>
      <c r="BA126">
        <v>2.34800004959106</v>
      </c>
      <c r="BB126">
        <v>2.2579998970031698</v>
      </c>
      <c r="BC126">
        <v>2.30800008773803</v>
      </c>
      <c r="BD126">
        <v>2.30800008773803</v>
      </c>
      <c r="BE126">
        <v>0</v>
      </c>
      <c r="BF126">
        <v>0.5</v>
      </c>
      <c r="BG126">
        <v>-3.1472854597876902E-2</v>
      </c>
      <c r="BH126">
        <v>5.0301359910802999E-2</v>
      </c>
      <c r="BI126">
        <v>2.3601999759673999</v>
      </c>
      <c r="BJ126">
        <f t="shared" si="1"/>
        <v>-9.255413326351639E-3</v>
      </c>
    </row>
    <row r="127" spans="1:62">
      <c r="A127" s="2">
        <v>44771</v>
      </c>
      <c r="B127">
        <v>161.24000549316401</v>
      </c>
      <c r="C127">
        <v>163.63000488281199</v>
      </c>
      <c r="D127">
        <v>159.5</v>
      </c>
      <c r="E127">
        <v>162.509994506835</v>
      </c>
      <c r="F127">
        <v>160.90994262695301</v>
      </c>
      <c r="G127">
        <v>101786900</v>
      </c>
      <c r="H127">
        <v>0.1</v>
      </c>
      <c r="I127">
        <v>3.2793061348378401E-2</v>
      </c>
      <c r="J127">
        <v>1.55512046207406E-2</v>
      </c>
      <c r="K127">
        <v>154.17500000000001</v>
      </c>
      <c r="L127">
        <v>113.08000183105401</v>
      </c>
      <c r="M127">
        <v>116.709999084472</v>
      </c>
      <c r="N127">
        <v>113.059997558593</v>
      </c>
      <c r="O127">
        <v>116.31999969482401</v>
      </c>
      <c r="P127">
        <v>116.31999969482401</v>
      </c>
      <c r="Q127">
        <v>37223400</v>
      </c>
      <c r="R127">
        <v>0.1</v>
      </c>
      <c r="S127">
        <v>1.8385558148115801E-2</v>
      </c>
      <c r="T127">
        <v>3.03315246195393E-2</v>
      </c>
      <c r="U127">
        <v>111.510999298095</v>
      </c>
      <c r="V127">
        <v>277.70001220703102</v>
      </c>
      <c r="W127">
        <v>282</v>
      </c>
      <c r="X127">
        <v>276.63000488281199</v>
      </c>
      <c r="Y127">
        <v>280.739990234375</v>
      </c>
      <c r="Z127">
        <v>276.39166259765602</v>
      </c>
      <c r="AA127">
        <v>32152800</v>
      </c>
      <c r="AB127">
        <v>0.1</v>
      </c>
      <c r="AC127">
        <v>1.56650863387661E-2</v>
      </c>
      <c r="AD127">
        <v>2.2170134760655401E-2</v>
      </c>
      <c r="AE127">
        <v>263.78699340820299</v>
      </c>
      <c r="AF127">
        <v>173.78999328613199</v>
      </c>
      <c r="AG127">
        <v>174.850006103515</v>
      </c>
      <c r="AH127">
        <v>172.91000366210901</v>
      </c>
      <c r="AI127">
        <v>174.52000427246</v>
      </c>
      <c r="AJ127">
        <v>165.91093444824199</v>
      </c>
      <c r="AK127">
        <v>6451400</v>
      </c>
      <c r="AL127">
        <v>0.1</v>
      </c>
      <c r="AM127">
        <v>1.8370110782139899E-3</v>
      </c>
      <c r="AN127">
        <v>8.8083094959282501E-3</v>
      </c>
      <c r="AO127">
        <v>172.811999511718</v>
      </c>
      <c r="AP127">
        <v>63.709999084472599</v>
      </c>
      <c r="AQ127">
        <v>64.290000915527301</v>
      </c>
      <c r="AR127">
        <v>63.630001068115199</v>
      </c>
      <c r="AS127">
        <v>64.169998168945298</v>
      </c>
      <c r="AT127">
        <v>60.835628509521399</v>
      </c>
      <c r="AU127">
        <v>13734200</v>
      </c>
      <c r="AV127">
        <v>0.1</v>
      </c>
      <c r="AW127">
        <v>1.7171497743337901E-3</v>
      </c>
      <c r="AX127">
        <v>1.1040824274076801E-2</v>
      </c>
      <c r="AY127">
        <v>62.526999282836897</v>
      </c>
      <c r="AZ127">
        <v>2.2899999618530198</v>
      </c>
      <c r="BA127">
        <v>2.3180000782012899</v>
      </c>
      <c r="BB127">
        <v>2.2730000019073402</v>
      </c>
      <c r="BC127">
        <v>2.2980000972747798</v>
      </c>
      <c r="BD127">
        <v>2.2980000972747798</v>
      </c>
      <c r="BE127">
        <v>0</v>
      </c>
      <c r="BF127">
        <v>0.5</v>
      </c>
      <c r="BG127">
        <v>-4.3327513358361004E-3</v>
      </c>
      <c r="BH127">
        <v>4.7160015584644097E-2</v>
      </c>
      <c r="BI127">
        <v>2.3659999847412099</v>
      </c>
      <c r="BJ127">
        <f t="shared" si="1"/>
        <v>4.873411000862758E-3</v>
      </c>
    </row>
    <row r="128" spans="1:62">
      <c r="A128" s="2">
        <v>44774</v>
      </c>
      <c r="B128">
        <v>161.009994506835</v>
      </c>
      <c r="C128">
        <v>163.58999633789</v>
      </c>
      <c r="D128">
        <v>160.88999938964801</v>
      </c>
      <c r="E128">
        <v>161.509994506835</v>
      </c>
      <c r="F128">
        <v>159.91978454589801</v>
      </c>
      <c r="G128">
        <v>67829400</v>
      </c>
      <c r="H128">
        <v>0.1</v>
      </c>
      <c r="I128">
        <v>-6.1534676869239302E-3</v>
      </c>
      <c r="J128">
        <v>1.5793167994669101E-2</v>
      </c>
      <c r="K128">
        <v>155.618998718261</v>
      </c>
      <c r="L128">
        <v>115.300003051757</v>
      </c>
      <c r="M128">
        <v>116.720001220703</v>
      </c>
      <c r="N128">
        <v>114.33999633789</v>
      </c>
      <c r="O128">
        <v>114.86000061035099</v>
      </c>
      <c r="P128">
        <v>114.86000061035099</v>
      </c>
      <c r="Q128">
        <v>26034300</v>
      </c>
      <c r="R128">
        <v>0.1</v>
      </c>
      <c r="S128">
        <v>-1.25515740053566E-2</v>
      </c>
      <c r="T128">
        <v>3.0526479514385599E-2</v>
      </c>
      <c r="U128">
        <v>112.093999481201</v>
      </c>
      <c r="V128">
        <v>277.82000732421801</v>
      </c>
      <c r="W128">
        <v>281.27999877929602</v>
      </c>
      <c r="X128">
        <v>275.83999633789</v>
      </c>
      <c r="Y128">
        <v>278.010009765625</v>
      </c>
      <c r="Z128">
        <v>273.70394897460898</v>
      </c>
      <c r="AA128">
        <v>21539600</v>
      </c>
      <c r="AB128">
        <v>0.1</v>
      </c>
      <c r="AC128">
        <v>-9.7242308317774199E-3</v>
      </c>
      <c r="AD128">
        <v>2.2348349116275999E-2</v>
      </c>
      <c r="AE128">
        <v>266.162994384765</v>
      </c>
      <c r="AF128">
        <v>174.169998168945</v>
      </c>
      <c r="AG128">
        <v>175.16000366210901</v>
      </c>
      <c r="AH128">
        <v>173.53999328613199</v>
      </c>
      <c r="AI128">
        <v>173.91000366210901</v>
      </c>
      <c r="AJ128">
        <v>165.33102416992099</v>
      </c>
      <c r="AK128">
        <v>5461400</v>
      </c>
      <c r="AL128">
        <v>0.1</v>
      </c>
      <c r="AM128">
        <v>-3.4953048098671502E-3</v>
      </c>
      <c r="AN128">
        <v>8.3448507077063094E-3</v>
      </c>
      <c r="AO128">
        <v>172.78000030517501</v>
      </c>
      <c r="AP128">
        <v>64.089996337890597</v>
      </c>
      <c r="AQ128">
        <v>65.040000915527301</v>
      </c>
      <c r="AR128">
        <v>64.029998779296804</v>
      </c>
      <c r="AS128">
        <v>64.519996643066406</v>
      </c>
      <c r="AT128">
        <v>61.16743850708</v>
      </c>
      <c r="AU128">
        <v>12831500</v>
      </c>
      <c r="AV128">
        <v>0.1</v>
      </c>
      <c r="AW128">
        <v>5.45423849319148E-3</v>
      </c>
      <c r="AX128">
        <v>9.7909970174339597E-3</v>
      </c>
      <c r="AY128">
        <v>62.813998794555602</v>
      </c>
      <c r="AZ128">
        <v>2.2899999618530198</v>
      </c>
      <c r="BA128">
        <v>2.3129999637603702</v>
      </c>
      <c r="BB128">
        <v>2.26300001144409</v>
      </c>
      <c r="BC128">
        <v>2.2650001049041699</v>
      </c>
      <c r="BD128">
        <v>2.2650001049041699</v>
      </c>
      <c r="BE128">
        <v>0</v>
      </c>
      <c r="BF128">
        <v>0.5</v>
      </c>
      <c r="BG128">
        <v>-1.43603093880372E-2</v>
      </c>
      <c r="BH128">
        <v>4.7612861583850197E-2</v>
      </c>
      <c r="BI128">
        <v>2.3664999961853002</v>
      </c>
      <c r="BJ128">
        <f t="shared" si="1"/>
        <v>-9.827188578091962E-3</v>
      </c>
    </row>
    <row r="129" spans="1:62">
      <c r="A129" s="2">
        <v>44775</v>
      </c>
      <c r="B129">
        <v>160.100006103515</v>
      </c>
      <c r="C129">
        <v>162.41000366210901</v>
      </c>
      <c r="D129">
        <v>159.63000488281199</v>
      </c>
      <c r="E129">
        <v>160.009994506835</v>
      </c>
      <c r="F129">
        <v>158.43453979492099</v>
      </c>
      <c r="G129">
        <v>59907000</v>
      </c>
      <c r="H129">
        <v>0.1</v>
      </c>
      <c r="I129">
        <v>-9.2873509443188694E-3</v>
      </c>
      <c r="J129">
        <v>1.5993965150072401E-2</v>
      </c>
      <c r="K129">
        <v>156.51999816894499</v>
      </c>
      <c r="L129">
        <v>114</v>
      </c>
      <c r="M129">
        <v>116.34999847412099</v>
      </c>
      <c r="N129">
        <v>113.720001220703</v>
      </c>
      <c r="O129">
        <v>115.129997253417</v>
      </c>
      <c r="P129">
        <v>115.129997253417</v>
      </c>
      <c r="Q129">
        <v>20236000</v>
      </c>
      <c r="R129">
        <v>0.1</v>
      </c>
      <c r="S129">
        <v>2.3506585550381299E-3</v>
      </c>
      <c r="T129">
        <v>2.9156156672012101E-2</v>
      </c>
      <c r="U129">
        <v>112.22599945068301</v>
      </c>
      <c r="V129">
        <v>276</v>
      </c>
      <c r="W129">
        <v>277.89001464843699</v>
      </c>
      <c r="X129">
        <v>272.38000488281199</v>
      </c>
      <c r="Y129">
        <v>274.82000732421801</v>
      </c>
      <c r="Z129">
        <v>270.56335449218699</v>
      </c>
      <c r="AA129">
        <v>22754200</v>
      </c>
      <c r="AB129">
        <v>0.1</v>
      </c>
      <c r="AC129">
        <v>-1.1474415774077901E-2</v>
      </c>
      <c r="AD129">
        <v>2.2489995186506399E-2</v>
      </c>
      <c r="AE129">
        <v>267.69199523925698</v>
      </c>
      <c r="AF129">
        <v>175.009994506835</v>
      </c>
      <c r="AG129">
        <v>175.49000549316401</v>
      </c>
      <c r="AH129">
        <v>172.69999694824199</v>
      </c>
      <c r="AI129">
        <v>172.919998168945</v>
      </c>
      <c r="AJ129">
        <v>164.389877319335</v>
      </c>
      <c r="AK129">
        <v>5794200</v>
      </c>
      <c r="AL129">
        <v>0.1</v>
      </c>
      <c r="AM129">
        <v>-5.6926310868669E-3</v>
      </c>
      <c r="AN129">
        <v>8.2793436446589493E-3</v>
      </c>
      <c r="AO129">
        <v>172.90299987792901</v>
      </c>
      <c r="AP129">
        <v>64.589996337890597</v>
      </c>
      <c r="AQ129">
        <v>64.599998474121094</v>
      </c>
      <c r="AR129">
        <v>63.430000305175703</v>
      </c>
      <c r="AS129">
        <v>63.639999389648402</v>
      </c>
      <c r="AT129">
        <v>60.333171844482401</v>
      </c>
      <c r="AU129">
        <v>15241900</v>
      </c>
      <c r="AV129">
        <v>0.1</v>
      </c>
      <c r="AW129">
        <v>-1.3639139789269301E-2</v>
      </c>
      <c r="AX129">
        <v>9.4974950558735192E-3</v>
      </c>
      <c r="AY129">
        <v>62.9249988555908</v>
      </c>
      <c r="AZ129">
        <v>2.4379999637603702</v>
      </c>
      <c r="BA129">
        <v>2.4649999141693102</v>
      </c>
      <c r="BB129">
        <v>2.4179999828338601</v>
      </c>
      <c r="BC129">
        <v>2.4630000591278001</v>
      </c>
      <c r="BD129">
        <v>2.4630000591278001</v>
      </c>
      <c r="BE129">
        <v>0</v>
      </c>
      <c r="BF129">
        <v>0.5</v>
      </c>
      <c r="BG129">
        <v>8.7417194283975402E-2</v>
      </c>
      <c r="BH129">
        <v>5.0039739577723702E-2</v>
      </c>
      <c r="BI129">
        <v>2.3677999973297101</v>
      </c>
      <c r="BJ129">
        <f t="shared" si="1"/>
        <v>3.9934309238038222E-2</v>
      </c>
    </row>
    <row r="130" spans="1:62">
      <c r="A130" s="2">
        <v>44776</v>
      </c>
      <c r="B130">
        <v>160.83999633789</v>
      </c>
      <c r="C130">
        <v>166.58999633789</v>
      </c>
      <c r="D130">
        <v>160.75</v>
      </c>
      <c r="E130">
        <v>166.13000488281199</v>
      </c>
      <c r="F130">
        <v>164.49429321289</v>
      </c>
      <c r="G130">
        <v>82507500</v>
      </c>
      <c r="H130">
        <v>0.1</v>
      </c>
      <c r="I130">
        <v>3.8247675683252998E-2</v>
      </c>
      <c r="J130">
        <v>1.7518472709558901E-2</v>
      </c>
      <c r="K130">
        <v>157.82899932861301</v>
      </c>
      <c r="L130">
        <v>115.709999084472</v>
      </c>
      <c r="M130">
        <v>118.620002746582</v>
      </c>
      <c r="N130">
        <v>115.480003356933</v>
      </c>
      <c r="O130">
        <v>118.08000183105401</v>
      </c>
      <c r="P130">
        <v>118.08000183105401</v>
      </c>
      <c r="Q130">
        <v>28499000</v>
      </c>
      <c r="R130">
        <v>0.1</v>
      </c>
      <c r="S130">
        <v>2.56232489187273E-2</v>
      </c>
      <c r="T130">
        <v>2.9585204831568498E-2</v>
      </c>
      <c r="U130">
        <v>112.64399948120101</v>
      </c>
      <c r="V130">
        <v>276.760009765625</v>
      </c>
      <c r="W130">
        <v>283.5</v>
      </c>
      <c r="X130">
        <v>276.60998535156199</v>
      </c>
      <c r="Y130">
        <v>282.47000122070301</v>
      </c>
      <c r="Z130">
        <v>278.09487915039</v>
      </c>
      <c r="AA130">
        <v>23518900</v>
      </c>
      <c r="AB130">
        <v>0.1</v>
      </c>
      <c r="AC130">
        <v>2.7836379057581899E-2</v>
      </c>
      <c r="AD130">
        <v>2.3097139930987502E-2</v>
      </c>
      <c r="AE130">
        <v>269.71199645996001</v>
      </c>
      <c r="AF130">
        <v>172.55000305175699</v>
      </c>
      <c r="AG130">
        <v>175.259994506835</v>
      </c>
      <c r="AH130">
        <v>171.77000427246</v>
      </c>
      <c r="AI130">
        <v>174.58999633789</v>
      </c>
      <c r="AJ130">
        <v>165.97749328613199</v>
      </c>
      <c r="AK130">
        <v>5010000</v>
      </c>
      <c r="AL130">
        <v>0.1</v>
      </c>
      <c r="AM130">
        <v>9.6576346670655903E-3</v>
      </c>
      <c r="AN130">
        <v>8.6343500837844193E-3</v>
      </c>
      <c r="AO130">
        <v>173.29099884033201</v>
      </c>
      <c r="AP130">
        <v>63.549999237060497</v>
      </c>
      <c r="AQ130">
        <v>64.099998474121094</v>
      </c>
      <c r="AR130">
        <v>63.310001373291001</v>
      </c>
      <c r="AS130">
        <v>63.919998168945298</v>
      </c>
      <c r="AT130">
        <v>60.598621368408203</v>
      </c>
      <c r="AU130">
        <v>11317000</v>
      </c>
      <c r="AV130">
        <v>0.1</v>
      </c>
      <c r="AW130">
        <v>4.3997294466100404E-3</v>
      </c>
      <c r="AX130">
        <v>9.5343601390021106E-3</v>
      </c>
      <c r="AY130">
        <v>63.166998672485299</v>
      </c>
      <c r="AZ130">
        <v>2.4430000782012899</v>
      </c>
      <c r="BA130">
        <v>2.4700000286102202</v>
      </c>
      <c r="BB130">
        <v>2.3980000019073402</v>
      </c>
      <c r="BC130">
        <v>2.4279999732971098</v>
      </c>
      <c r="BD130">
        <v>2.4279999732971098</v>
      </c>
      <c r="BE130">
        <v>0</v>
      </c>
      <c r="BF130">
        <v>0.5</v>
      </c>
      <c r="BG130">
        <v>-1.4210347133764401E-2</v>
      </c>
      <c r="BH130">
        <v>4.37986248976849E-2</v>
      </c>
      <c r="BI130">
        <v>2.3727999925613399</v>
      </c>
      <c r="BJ130">
        <f t="shared" si="1"/>
        <v>3.4712932104415833E-3</v>
      </c>
    </row>
    <row r="131" spans="1:62">
      <c r="A131" s="2">
        <v>44777</v>
      </c>
      <c r="B131">
        <v>166.009994506835</v>
      </c>
      <c r="C131">
        <v>167.19000244140599</v>
      </c>
      <c r="D131">
        <v>164.42999267578099</v>
      </c>
      <c r="E131">
        <v>165.80999755859301</v>
      </c>
      <c r="F131">
        <v>164.17744445800699</v>
      </c>
      <c r="G131">
        <v>55474100</v>
      </c>
      <c r="H131">
        <v>0.1</v>
      </c>
      <c r="I131">
        <v>-1.9262464022948801E-3</v>
      </c>
      <c r="J131">
        <v>1.7205061030683901E-2</v>
      </c>
      <c r="K131">
        <v>158.87499847412101</v>
      </c>
      <c r="L131">
        <v>117.480003356933</v>
      </c>
      <c r="M131">
        <v>118.77999877929599</v>
      </c>
      <c r="N131">
        <v>116.889999389648</v>
      </c>
      <c r="O131">
        <v>118.19000244140599</v>
      </c>
      <c r="P131">
        <v>118.19000244140599</v>
      </c>
      <c r="Q131">
        <v>21602900</v>
      </c>
      <c r="R131">
        <v>0.1</v>
      </c>
      <c r="S131">
        <v>9.31576970238712E-4</v>
      </c>
      <c r="T131">
        <v>2.8427022168128799E-2</v>
      </c>
      <c r="U131">
        <v>113.02900009155201</v>
      </c>
      <c r="V131">
        <v>281.79998779296801</v>
      </c>
      <c r="W131">
        <v>283.79998779296801</v>
      </c>
      <c r="X131">
        <v>280.17001342773398</v>
      </c>
      <c r="Y131">
        <v>283.64999389648398</v>
      </c>
      <c r="Z131">
        <v>279.25665283203102</v>
      </c>
      <c r="AA131">
        <v>18098700</v>
      </c>
      <c r="AB131">
        <v>0.1</v>
      </c>
      <c r="AC131">
        <v>4.1774088245898301E-3</v>
      </c>
      <c r="AD131">
        <v>2.3068663133533E-2</v>
      </c>
      <c r="AE131">
        <v>271.59299621581999</v>
      </c>
      <c r="AF131">
        <v>174.80999755859301</v>
      </c>
      <c r="AG131">
        <v>175.08999633789</v>
      </c>
      <c r="AH131">
        <v>171.600006103515</v>
      </c>
      <c r="AI131">
        <v>171.78999328613199</v>
      </c>
      <c r="AJ131">
        <v>163.31562805175699</v>
      </c>
      <c r="AK131">
        <v>5651600</v>
      </c>
      <c r="AL131">
        <v>0.1</v>
      </c>
      <c r="AM131">
        <v>-1.6037591560165099E-2</v>
      </c>
      <c r="AN131">
        <v>9.2419852660483408E-3</v>
      </c>
      <c r="AO131">
        <v>173.33899841308499</v>
      </c>
      <c r="AP131">
        <v>63.639999389648402</v>
      </c>
      <c r="AQ131">
        <v>63.7299995422363</v>
      </c>
      <c r="AR131">
        <v>62.919998168945298</v>
      </c>
      <c r="AS131">
        <v>63.669998168945298</v>
      </c>
      <c r="AT131">
        <v>60.361606597900298</v>
      </c>
      <c r="AU131">
        <v>11795600</v>
      </c>
      <c r="AV131">
        <v>0.1</v>
      </c>
      <c r="AW131">
        <v>-3.9111390356931699E-3</v>
      </c>
      <c r="AX131">
        <v>9.3919911278448204E-3</v>
      </c>
      <c r="AY131">
        <v>63.3979984283447</v>
      </c>
      <c r="AZ131">
        <v>2.3729999065399099</v>
      </c>
      <c r="BA131">
        <v>2.38800001144409</v>
      </c>
      <c r="BB131">
        <v>2.34800004959106</v>
      </c>
      <c r="BC131">
        <v>2.3780000209808301</v>
      </c>
      <c r="BD131">
        <v>2.3780000209808301</v>
      </c>
      <c r="BE131">
        <v>0</v>
      </c>
      <c r="BF131">
        <v>0.5</v>
      </c>
      <c r="BG131">
        <v>-2.0593061312264401E-2</v>
      </c>
      <c r="BH131">
        <v>4.4488273925201501E-2</v>
      </c>
      <c r="BI131">
        <v>2.3746000051498402</v>
      </c>
      <c r="BJ131">
        <f t="shared" si="1"/>
        <v>-1.1973129776464662E-2</v>
      </c>
    </row>
    <row r="132" spans="1:62">
      <c r="A132" s="2">
        <v>44778</v>
      </c>
      <c r="B132">
        <v>163.21000671386699</v>
      </c>
      <c r="C132">
        <v>165.850006103515</v>
      </c>
      <c r="D132">
        <v>163</v>
      </c>
      <c r="E132">
        <v>165.350006103515</v>
      </c>
      <c r="F132">
        <v>163.94940185546801</v>
      </c>
      <c r="G132">
        <v>56697000</v>
      </c>
      <c r="H132">
        <v>0.1</v>
      </c>
      <c r="I132">
        <v>-2.7742082012610601E-3</v>
      </c>
      <c r="J132">
        <v>1.73247622389835E-2</v>
      </c>
      <c r="K132">
        <v>160.000999450683</v>
      </c>
      <c r="L132">
        <v>116.230003356933</v>
      </c>
      <c r="M132">
        <v>118.11000061035099</v>
      </c>
      <c r="N132">
        <v>116</v>
      </c>
      <c r="O132">
        <v>117.470001220703</v>
      </c>
      <c r="P132">
        <v>117.470001220703</v>
      </c>
      <c r="Q132">
        <v>19159500</v>
      </c>
      <c r="R132">
        <v>0.1</v>
      </c>
      <c r="S132">
        <v>-6.0918961488309799E-3</v>
      </c>
      <c r="T132">
        <v>2.84371314480436E-2</v>
      </c>
      <c r="U132">
        <v>113.986000061035</v>
      </c>
      <c r="V132">
        <v>279.14999389648398</v>
      </c>
      <c r="W132">
        <v>283.64999389648398</v>
      </c>
      <c r="X132">
        <v>278.67999267578102</v>
      </c>
      <c r="Y132">
        <v>282.91000366210898</v>
      </c>
      <c r="Z132">
        <v>278.528076171875</v>
      </c>
      <c r="AA132">
        <v>16774600</v>
      </c>
      <c r="AB132">
        <v>0.1</v>
      </c>
      <c r="AC132">
        <v>-2.60881456124784E-3</v>
      </c>
      <c r="AD132">
        <v>2.3066734371868201E-2</v>
      </c>
      <c r="AE132">
        <v>273.84799804687498</v>
      </c>
      <c r="AF132">
        <v>171.30000305175699</v>
      </c>
      <c r="AG132">
        <v>171.52999877929599</v>
      </c>
      <c r="AH132">
        <v>169.78999328613199</v>
      </c>
      <c r="AI132">
        <v>171.11000061035099</v>
      </c>
      <c r="AJ132">
        <v>162.66915893554599</v>
      </c>
      <c r="AK132">
        <v>5235500</v>
      </c>
      <c r="AL132">
        <v>0.1</v>
      </c>
      <c r="AM132">
        <v>-3.9582787260993204E-3</v>
      </c>
      <c r="AN132">
        <v>9.2521327200547898E-3</v>
      </c>
      <c r="AO132">
        <v>173.237998962402</v>
      </c>
      <c r="AP132">
        <v>63.630001068115199</v>
      </c>
      <c r="AQ132">
        <v>63.630001068115199</v>
      </c>
      <c r="AR132">
        <v>62.669998168945298</v>
      </c>
      <c r="AS132">
        <v>63.380001068115199</v>
      </c>
      <c r="AT132">
        <v>60.086677551269503</v>
      </c>
      <c r="AU132">
        <v>10445400</v>
      </c>
      <c r="AV132">
        <v>0.1</v>
      </c>
      <c r="AW132">
        <v>-4.5546899508397401E-3</v>
      </c>
      <c r="AX132">
        <v>9.4326942665160108E-3</v>
      </c>
      <c r="AY132">
        <v>63.576998519897401</v>
      </c>
      <c r="AZ132">
        <v>2.3729999065399099</v>
      </c>
      <c r="BA132">
        <v>2.4249999523162802</v>
      </c>
      <c r="BB132">
        <v>2.3280000686645499</v>
      </c>
      <c r="BC132">
        <v>2.41000008583068</v>
      </c>
      <c r="BD132">
        <v>2.41000008583068</v>
      </c>
      <c r="BE132">
        <v>0</v>
      </c>
      <c r="BF132">
        <v>0.5</v>
      </c>
      <c r="BG132">
        <v>1.3456713443027899E-2</v>
      </c>
      <c r="BH132">
        <v>4.4266927247227701E-2</v>
      </c>
      <c r="BI132">
        <v>2.3801000118255602</v>
      </c>
      <c r="BJ132">
        <f t="shared" si="1"/>
        <v>4.7295679626860555E-3</v>
      </c>
    </row>
    <row r="133" spans="1:62">
      <c r="A133" s="2">
        <v>44781</v>
      </c>
      <c r="B133">
        <v>166.36999511718699</v>
      </c>
      <c r="C133">
        <v>167.80999755859301</v>
      </c>
      <c r="D133">
        <v>164.19999694824199</v>
      </c>
      <c r="E133">
        <v>164.86999511718699</v>
      </c>
      <c r="F133">
        <v>163.47344970703099</v>
      </c>
      <c r="G133">
        <v>60276900</v>
      </c>
      <c r="H133">
        <v>0.1</v>
      </c>
      <c r="I133">
        <v>-2.9029995077690602E-3</v>
      </c>
      <c r="J133">
        <v>1.67701565200752E-2</v>
      </c>
      <c r="K133">
        <v>161.19299926757799</v>
      </c>
      <c r="L133">
        <v>118.389999389648</v>
      </c>
      <c r="M133">
        <v>120.150001525878</v>
      </c>
      <c r="N133">
        <v>116.879997253417</v>
      </c>
      <c r="O133">
        <v>117.300003051757</v>
      </c>
      <c r="P133">
        <v>117.300003051757</v>
      </c>
      <c r="Q133">
        <v>19138300</v>
      </c>
      <c r="R133">
        <v>0.1</v>
      </c>
      <c r="S133">
        <v>-1.44716240043207E-3</v>
      </c>
      <c r="T133">
        <v>2.7528954854214398E-2</v>
      </c>
      <c r="U133">
        <v>114.965000152587</v>
      </c>
      <c r="V133">
        <v>284.04998779296801</v>
      </c>
      <c r="W133">
        <v>285.92001342773398</v>
      </c>
      <c r="X133">
        <v>279.32000732421801</v>
      </c>
      <c r="Y133">
        <v>280.32000732421801</v>
      </c>
      <c r="Z133">
        <v>275.97817993164</v>
      </c>
      <c r="AA133">
        <v>18739200</v>
      </c>
      <c r="AB133">
        <v>0.1</v>
      </c>
      <c r="AC133">
        <v>-9.1548418379152601E-3</v>
      </c>
      <c r="AD133">
        <v>2.2985775784329001E-2</v>
      </c>
      <c r="AE133">
        <v>275.99700012207001</v>
      </c>
      <c r="AF133">
        <v>171.30000305175699</v>
      </c>
      <c r="AG133">
        <v>171.47999572753901</v>
      </c>
      <c r="AH133">
        <v>169.44000244140599</v>
      </c>
      <c r="AI133">
        <v>170.19999694824199</v>
      </c>
      <c r="AJ133">
        <v>161.80406188964801</v>
      </c>
      <c r="AK133">
        <v>4629800</v>
      </c>
      <c r="AL133">
        <v>0.1</v>
      </c>
      <c r="AM133">
        <v>-5.3182377351609304E-3</v>
      </c>
      <c r="AN133">
        <v>9.2622157740494693E-3</v>
      </c>
      <c r="AO133">
        <v>173.011997985839</v>
      </c>
      <c r="AP133">
        <v>63.5</v>
      </c>
      <c r="AQ133">
        <v>63.810001373291001</v>
      </c>
      <c r="AR133">
        <v>62.75</v>
      </c>
      <c r="AS133">
        <v>62.970001220703097</v>
      </c>
      <c r="AT133">
        <v>59.697982788085902</v>
      </c>
      <c r="AU133">
        <v>9165200</v>
      </c>
      <c r="AV133">
        <v>0.1</v>
      </c>
      <c r="AW133">
        <v>-6.4689151231076504E-3</v>
      </c>
      <c r="AX133">
        <v>9.5237610509772801E-3</v>
      </c>
      <c r="AY133">
        <v>63.654998779296797</v>
      </c>
      <c r="AZ133">
        <v>2.43300008773803</v>
      </c>
      <c r="BA133">
        <v>2.4700000286102202</v>
      </c>
      <c r="BB133">
        <v>2.4249999523162802</v>
      </c>
      <c r="BC133">
        <v>2.46000003814697</v>
      </c>
      <c r="BD133">
        <v>2.46000003814697</v>
      </c>
      <c r="BE133">
        <v>0</v>
      </c>
      <c r="BF133">
        <v>0.5</v>
      </c>
      <c r="BG133">
        <v>2.0746867442143602E-2</v>
      </c>
      <c r="BH133">
        <v>4.3008825967243203E-2</v>
      </c>
      <c r="BI133">
        <v>2.38680002689361</v>
      </c>
      <c r="BJ133">
        <f t="shared" ref="BJ133:BJ196" si="2">BG133*BF133+AW133*AV133+AM133*AL133+AC133*AB133+S133*R133+I133*H133</f>
        <v>7.8442180606333022E-3</v>
      </c>
    </row>
    <row r="134" spans="1:62">
      <c r="A134" s="2">
        <v>44782</v>
      </c>
      <c r="B134">
        <v>164.02000427246</v>
      </c>
      <c r="C134">
        <v>165.82000732421801</v>
      </c>
      <c r="D134">
        <v>163.25</v>
      </c>
      <c r="E134">
        <v>164.919998168945</v>
      </c>
      <c r="F134">
        <v>163.523025512695</v>
      </c>
      <c r="G134">
        <v>63135500</v>
      </c>
      <c r="H134">
        <v>0.1</v>
      </c>
      <c r="I134">
        <v>3.03287761501236E-4</v>
      </c>
      <c r="J134">
        <v>1.6829226772162E-2</v>
      </c>
      <c r="K134">
        <v>162.52499847412099</v>
      </c>
      <c r="L134">
        <v>117.139999389648</v>
      </c>
      <c r="M134">
        <v>117.31999969482401</v>
      </c>
      <c r="N134">
        <v>115.709999084472</v>
      </c>
      <c r="O134">
        <v>116.629997253417</v>
      </c>
      <c r="P134">
        <v>116.629997253417</v>
      </c>
      <c r="Q134">
        <v>19086500</v>
      </c>
      <c r="R134">
        <v>0.1</v>
      </c>
      <c r="S134">
        <v>-5.7118992404817598E-3</v>
      </c>
      <c r="T134">
        <v>2.7342753466905401E-2</v>
      </c>
      <c r="U134">
        <v>116.126000213623</v>
      </c>
      <c r="V134">
        <v>279.64001464843699</v>
      </c>
      <c r="W134">
        <v>283.079986572265</v>
      </c>
      <c r="X134">
        <v>277.60998535156199</v>
      </c>
      <c r="Y134">
        <v>282.29998779296801</v>
      </c>
      <c r="Z134">
        <v>277.92745971679602</v>
      </c>
      <c r="AA134">
        <v>23405200</v>
      </c>
      <c r="AB134">
        <v>0.1</v>
      </c>
      <c r="AC134">
        <v>7.0632863049977504E-3</v>
      </c>
      <c r="AD134">
        <v>2.0507316811300101E-2</v>
      </c>
      <c r="AE134">
        <v>279.03699951171802</v>
      </c>
      <c r="AF134">
        <v>170.53999328613199</v>
      </c>
      <c r="AG134">
        <v>171.11999511718699</v>
      </c>
      <c r="AH134">
        <v>169.72999572753901</v>
      </c>
      <c r="AI134">
        <v>170.17999267578099</v>
      </c>
      <c r="AJ134">
        <v>161.78503417968699</v>
      </c>
      <c r="AK134">
        <v>5532500</v>
      </c>
      <c r="AL134">
        <v>0.1</v>
      </c>
      <c r="AM134">
        <v>-1.17533917859069E-4</v>
      </c>
      <c r="AN134">
        <v>8.8485839655951196E-3</v>
      </c>
      <c r="AO134">
        <v>172.66199798583901</v>
      </c>
      <c r="AP134">
        <v>63.180000305175703</v>
      </c>
      <c r="AQ134">
        <v>63.310001373291001</v>
      </c>
      <c r="AR134">
        <v>62.849998474121001</v>
      </c>
      <c r="AS134">
        <v>63.049999237060497</v>
      </c>
      <c r="AT134">
        <v>59.7738227844238</v>
      </c>
      <c r="AU134">
        <v>7910900</v>
      </c>
      <c r="AV134">
        <v>0.1</v>
      </c>
      <c r="AW134">
        <v>1.27041471822497E-3</v>
      </c>
      <c r="AX134">
        <v>9.4708988707299796E-3</v>
      </c>
      <c r="AY134">
        <v>63.638998794555597</v>
      </c>
      <c r="AZ134">
        <v>2.57500004768371</v>
      </c>
      <c r="BA134">
        <v>2.5780000686645499</v>
      </c>
      <c r="BB134">
        <v>2.53500008583068</v>
      </c>
      <c r="BC134">
        <v>2.5699999332427899</v>
      </c>
      <c r="BD134">
        <v>2.5699999332427899</v>
      </c>
      <c r="BE134">
        <v>0</v>
      </c>
      <c r="BF134">
        <v>0.5</v>
      </c>
      <c r="BG134">
        <v>4.47154038171007E-2</v>
      </c>
      <c r="BH134">
        <v>4.05817677166549E-2</v>
      </c>
      <c r="BI134">
        <v>2.39630002975463</v>
      </c>
      <c r="BJ134">
        <f t="shared" si="2"/>
        <v>2.2638457471188665E-2</v>
      </c>
    </row>
    <row r="135" spans="1:62">
      <c r="A135" s="2">
        <v>44783</v>
      </c>
      <c r="B135">
        <v>167.67999267578099</v>
      </c>
      <c r="C135">
        <v>169.33999633789</v>
      </c>
      <c r="D135">
        <v>166.89999389648401</v>
      </c>
      <c r="E135">
        <v>169.24000549316401</v>
      </c>
      <c r="F135">
        <v>167.80644226074199</v>
      </c>
      <c r="G135">
        <v>70170500</v>
      </c>
      <c r="H135">
        <v>0.1</v>
      </c>
      <c r="I135">
        <v>2.61945632560176E-2</v>
      </c>
      <c r="J135">
        <v>1.7256730372727801E-2</v>
      </c>
      <c r="K135">
        <v>163.76999969482401</v>
      </c>
      <c r="L135">
        <v>118.77999877929599</v>
      </c>
      <c r="M135">
        <v>120.919998168945</v>
      </c>
      <c r="N135">
        <v>118.41000366210901</v>
      </c>
      <c r="O135">
        <v>119.699996948242</v>
      </c>
      <c r="P135">
        <v>119.699996948242</v>
      </c>
      <c r="Q135">
        <v>30930400</v>
      </c>
      <c r="R135">
        <v>0.1</v>
      </c>
      <c r="S135">
        <v>2.6322556521660701E-2</v>
      </c>
      <c r="T135">
        <v>2.72219699626296E-2</v>
      </c>
      <c r="U135">
        <v>116.790000152587</v>
      </c>
      <c r="V135">
        <v>288.17001342773398</v>
      </c>
      <c r="W135">
        <v>289.80999755859301</v>
      </c>
      <c r="X135">
        <v>286.94000244140602</v>
      </c>
      <c r="Y135">
        <v>289.16000366210898</v>
      </c>
      <c r="Z135">
        <v>284.68127441406199</v>
      </c>
      <c r="AA135">
        <v>24687800</v>
      </c>
      <c r="AB135">
        <v>0.1</v>
      </c>
      <c r="AC135">
        <v>2.4300446920924201E-2</v>
      </c>
      <c r="AD135">
        <v>2.07946444293024E-2</v>
      </c>
      <c r="AE135">
        <v>281.07900085449199</v>
      </c>
      <c r="AF135">
        <v>171.02000427246</v>
      </c>
      <c r="AG135">
        <v>171.24000549316401</v>
      </c>
      <c r="AH135">
        <v>169.52999877929599</v>
      </c>
      <c r="AI135">
        <v>170.669998168945</v>
      </c>
      <c r="AJ135">
        <v>162.25086975097599</v>
      </c>
      <c r="AK135">
        <v>5603400</v>
      </c>
      <c r="AL135">
        <v>0.1</v>
      </c>
      <c r="AM135">
        <v>2.8793366685448902E-3</v>
      </c>
      <c r="AN135">
        <v>8.9024630927190002E-3</v>
      </c>
      <c r="AO135">
        <v>172.40899810791001</v>
      </c>
      <c r="AP135">
        <v>63.630001068115199</v>
      </c>
      <c r="AQ135">
        <v>63.790000915527301</v>
      </c>
      <c r="AR135">
        <v>63.099998474121001</v>
      </c>
      <c r="AS135">
        <v>63.650001525878899</v>
      </c>
      <c r="AT135">
        <v>60.342647552490199</v>
      </c>
      <c r="AU135">
        <v>8857300</v>
      </c>
      <c r="AV135">
        <v>0.1</v>
      </c>
      <c r="AW135">
        <v>9.5162933557291201E-3</v>
      </c>
      <c r="AX135">
        <v>9.6071521223250796E-3</v>
      </c>
      <c r="AY135">
        <v>63.702999114990199</v>
      </c>
      <c r="AZ135">
        <v>2.5729999542236301</v>
      </c>
      <c r="BA135">
        <v>2.5780000686645499</v>
      </c>
      <c r="BB135">
        <v>2.4879999160766602</v>
      </c>
      <c r="BC135">
        <v>2.53500008583068</v>
      </c>
      <c r="BD135">
        <v>2.53500008583068</v>
      </c>
      <c r="BE135">
        <v>0</v>
      </c>
      <c r="BF135">
        <v>0.5</v>
      </c>
      <c r="BG135">
        <v>-1.36186180238327E-2</v>
      </c>
      <c r="BH135">
        <v>3.5059719017316998E-2</v>
      </c>
      <c r="BI135">
        <v>2.4115000486373899</v>
      </c>
      <c r="BJ135">
        <f t="shared" si="2"/>
        <v>2.1120106603713016E-3</v>
      </c>
    </row>
    <row r="136" spans="1:62">
      <c r="A136" s="2">
        <v>44784</v>
      </c>
      <c r="B136">
        <v>170.05999755859301</v>
      </c>
      <c r="C136">
        <v>170.99000549316401</v>
      </c>
      <c r="D136">
        <v>168.19000244140599</v>
      </c>
      <c r="E136">
        <v>168.49000549316401</v>
      </c>
      <c r="F136">
        <v>167.06278991699199</v>
      </c>
      <c r="G136">
        <v>57149200</v>
      </c>
      <c r="H136">
        <v>0.1</v>
      </c>
      <c r="I136">
        <v>-4.4315763156265097E-3</v>
      </c>
      <c r="J136">
        <v>1.7186737410190198E-2</v>
      </c>
      <c r="K136">
        <v>164.88399963378899</v>
      </c>
      <c r="L136">
        <v>121.27999877929599</v>
      </c>
      <c r="M136">
        <v>121.48999786376901</v>
      </c>
      <c r="N136">
        <v>118.559997558593</v>
      </c>
      <c r="O136">
        <v>118.83999633789</v>
      </c>
      <c r="P136">
        <v>118.83999633789</v>
      </c>
      <c r="Q136">
        <v>24293700</v>
      </c>
      <c r="R136">
        <v>0.1</v>
      </c>
      <c r="S136">
        <v>-7.1846335194429801E-3</v>
      </c>
      <c r="T136">
        <v>2.7183099422388501E-2</v>
      </c>
      <c r="U136">
        <v>117.251999664306</v>
      </c>
      <c r="V136">
        <v>290.850006103515</v>
      </c>
      <c r="W136">
        <v>291.20999145507801</v>
      </c>
      <c r="X136">
        <v>286.510009765625</v>
      </c>
      <c r="Y136">
        <v>287.01998901367102</v>
      </c>
      <c r="Z136">
        <v>282.57440185546801</v>
      </c>
      <c r="AA136">
        <v>20065900</v>
      </c>
      <c r="AB136">
        <v>0.1</v>
      </c>
      <c r="AC136">
        <v>-7.4007975561453101E-3</v>
      </c>
      <c r="AD136">
        <v>2.1040654407927899E-2</v>
      </c>
      <c r="AE136">
        <v>282.13999938964798</v>
      </c>
      <c r="AF136">
        <v>168.52000427246</v>
      </c>
      <c r="AG136">
        <v>169.94999694824199</v>
      </c>
      <c r="AH136">
        <v>166.97999572753901</v>
      </c>
      <c r="AI136">
        <v>167.13999938964801</v>
      </c>
      <c r="AJ136">
        <v>158.89501953125</v>
      </c>
      <c r="AK136">
        <v>9328700</v>
      </c>
      <c r="AL136">
        <v>0.1</v>
      </c>
      <c r="AM136">
        <v>-2.0683182850934002E-2</v>
      </c>
      <c r="AN136">
        <v>9.8631680039699896E-3</v>
      </c>
      <c r="AO136">
        <v>171.70299835205</v>
      </c>
      <c r="AP136">
        <v>63.689998626708899</v>
      </c>
      <c r="AQ136">
        <v>63.990001678466797</v>
      </c>
      <c r="AR136">
        <v>63.080001831054602</v>
      </c>
      <c r="AS136">
        <v>63.220001220703097</v>
      </c>
      <c r="AT136">
        <v>59.934989929199197</v>
      </c>
      <c r="AU136">
        <v>8507800</v>
      </c>
      <c r="AV136">
        <v>0.1</v>
      </c>
      <c r="AW136">
        <v>-6.7556998408075898E-3</v>
      </c>
      <c r="AX136">
        <v>9.7220550182231004E-3</v>
      </c>
      <c r="AY136">
        <v>63.618999481201101</v>
      </c>
      <c r="AZ136">
        <v>2.4979999065399099</v>
      </c>
      <c r="BA136">
        <v>2.4979999065399099</v>
      </c>
      <c r="BB136">
        <v>2.4430000782012899</v>
      </c>
      <c r="BC136">
        <v>2.4900000095367401</v>
      </c>
      <c r="BD136">
        <v>2.4900000095367401</v>
      </c>
      <c r="BE136">
        <v>0</v>
      </c>
      <c r="BF136">
        <v>0.5</v>
      </c>
      <c r="BG136">
        <v>-1.77515087851365E-2</v>
      </c>
      <c r="BH136">
        <v>3.4919703233600601E-2</v>
      </c>
      <c r="BI136">
        <v>2.4297000408172602</v>
      </c>
      <c r="BJ136">
        <f t="shared" si="2"/>
        <v>-1.3521343400863887E-2</v>
      </c>
    </row>
    <row r="137" spans="1:62">
      <c r="A137" s="2">
        <v>44785</v>
      </c>
      <c r="B137">
        <v>169.82000732421801</v>
      </c>
      <c r="C137">
        <v>172.169998168945</v>
      </c>
      <c r="D137">
        <v>169.39999389648401</v>
      </c>
      <c r="E137">
        <v>172.100006103515</v>
      </c>
      <c r="F137">
        <v>170.64221191406199</v>
      </c>
      <c r="G137">
        <v>68039400</v>
      </c>
      <c r="H137">
        <v>0.1</v>
      </c>
      <c r="I137">
        <v>2.1425606817361199E-2</v>
      </c>
      <c r="J137">
        <v>1.7480699250979601E-2</v>
      </c>
      <c r="K137">
        <v>165.84300079345701</v>
      </c>
      <c r="L137">
        <v>120.26000213623</v>
      </c>
      <c r="M137">
        <v>121.680000305175</v>
      </c>
      <c r="N137">
        <v>119.459999084472</v>
      </c>
      <c r="O137">
        <v>121.680000305175</v>
      </c>
      <c r="P137">
        <v>121.680000305175</v>
      </c>
      <c r="Q137">
        <v>19096300</v>
      </c>
      <c r="R137">
        <v>0.1</v>
      </c>
      <c r="S137">
        <v>2.3897711669481601E-2</v>
      </c>
      <c r="T137">
        <v>2.7483076474890799E-2</v>
      </c>
      <c r="U137">
        <v>117.787999725341</v>
      </c>
      <c r="V137">
        <v>288.48001098632801</v>
      </c>
      <c r="W137">
        <v>291.91000366210898</v>
      </c>
      <c r="X137">
        <v>286.94000244140602</v>
      </c>
      <c r="Y137">
        <v>291.91000366210898</v>
      </c>
      <c r="Z137">
        <v>287.38870239257801</v>
      </c>
      <c r="AA137">
        <v>22619700</v>
      </c>
      <c r="AB137">
        <v>0.1</v>
      </c>
      <c r="AC137">
        <v>1.7037191957402598E-2</v>
      </c>
      <c r="AD137">
        <v>2.1160484312200301E-2</v>
      </c>
      <c r="AE137">
        <v>283.25700073242098</v>
      </c>
      <c r="AF137">
        <v>167.53999328613199</v>
      </c>
      <c r="AG137">
        <v>167.94000244140599</v>
      </c>
      <c r="AH137">
        <v>165.14999389648401</v>
      </c>
      <c r="AI137">
        <v>165.30000305175699</v>
      </c>
      <c r="AJ137">
        <v>157.14578247070301</v>
      </c>
      <c r="AK137">
        <v>14606900</v>
      </c>
      <c r="AL137">
        <v>0.1</v>
      </c>
      <c r="AM137">
        <v>-1.1008713321824799E-2</v>
      </c>
      <c r="AN137">
        <v>9.1813086789981693E-3</v>
      </c>
      <c r="AO137">
        <v>170.78099822998001</v>
      </c>
      <c r="AP137">
        <v>63.430000305175703</v>
      </c>
      <c r="AQ137">
        <v>63.759998321533203</v>
      </c>
      <c r="AR137">
        <v>63.090000152587798</v>
      </c>
      <c r="AS137">
        <v>63.700000762939403</v>
      </c>
      <c r="AT137">
        <v>60.390048980712798</v>
      </c>
      <c r="AU137">
        <v>9489300</v>
      </c>
      <c r="AV137">
        <v>0.1</v>
      </c>
      <c r="AW137">
        <v>7.5925266208178802E-3</v>
      </c>
      <c r="AX137">
        <v>9.7937475926002295E-3</v>
      </c>
      <c r="AY137">
        <v>63.571999740600504</v>
      </c>
      <c r="AZ137">
        <v>2.48300004005432</v>
      </c>
      <c r="BA137">
        <v>2.5030000209808301</v>
      </c>
      <c r="BB137">
        <v>2.4549999237060498</v>
      </c>
      <c r="BC137">
        <v>2.5</v>
      </c>
      <c r="BD137">
        <v>2.5</v>
      </c>
      <c r="BE137">
        <v>0</v>
      </c>
      <c r="BF137">
        <v>0.5</v>
      </c>
      <c r="BG137">
        <v>4.0160604116292698E-3</v>
      </c>
      <c r="BH137">
        <v>3.4615388998746902E-2</v>
      </c>
      <c r="BI137">
        <v>2.4499000310897801</v>
      </c>
      <c r="BJ137">
        <f t="shared" si="2"/>
        <v>7.9024625801384831E-3</v>
      </c>
    </row>
    <row r="138" spans="1:62">
      <c r="A138" s="2">
        <v>44788</v>
      </c>
      <c r="B138">
        <v>171.52000427246</v>
      </c>
      <c r="C138">
        <v>173.38999938964801</v>
      </c>
      <c r="D138">
        <v>171.350006103515</v>
      </c>
      <c r="E138">
        <v>173.19000244140599</v>
      </c>
      <c r="F138">
        <v>171.72294616699199</v>
      </c>
      <c r="G138">
        <v>54091700</v>
      </c>
      <c r="H138">
        <v>0.1</v>
      </c>
      <c r="I138">
        <v>6.33350551559552E-3</v>
      </c>
      <c r="J138">
        <v>1.6233165041418501E-2</v>
      </c>
      <c r="K138">
        <v>167.01100158691401</v>
      </c>
      <c r="L138">
        <v>121.129997253417</v>
      </c>
      <c r="M138">
        <v>122.300003051757</v>
      </c>
      <c r="N138">
        <v>120.61000061035099</v>
      </c>
      <c r="O138">
        <v>122.08000183105401</v>
      </c>
      <c r="P138">
        <v>122.08000183105401</v>
      </c>
      <c r="Q138">
        <v>19494800</v>
      </c>
      <c r="R138">
        <v>0.1</v>
      </c>
      <c r="S138">
        <v>3.2873235114700898E-3</v>
      </c>
      <c r="T138">
        <v>2.66182058458878E-2</v>
      </c>
      <c r="U138">
        <v>118.509999847412</v>
      </c>
      <c r="V138">
        <v>291</v>
      </c>
      <c r="W138">
        <v>294.17999267578102</v>
      </c>
      <c r="X138">
        <v>290.10998535156199</v>
      </c>
      <c r="Y138">
        <v>293.47000122070301</v>
      </c>
      <c r="Z138">
        <v>288.92453002929602</v>
      </c>
      <c r="AA138">
        <v>18085700</v>
      </c>
      <c r="AB138">
        <v>0.1</v>
      </c>
      <c r="AC138">
        <v>5.3441044809121596E-3</v>
      </c>
      <c r="AD138">
        <v>2.0816539570489598E-2</v>
      </c>
      <c r="AE138">
        <v>284.80299987792898</v>
      </c>
      <c r="AF138">
        <v>166</v>
      </c>
      <c r="AG138">
        <v>166.75</v>
      </c>
      <c r="AH138">
        <v>165.13000488281199</v>
      </c>
      <c r="AI138">
        <v>166.08999633789</v>
      </c>
      <c r="AJ138">
        <v>157.89680480957</v>
      </c>
      <c r="AK138">
        <v>10072000</v>
      </c>
      <c r="AL138">
        <v>0.1</v>
      </c>
      <c r="AM138">
        <v>4.7791486482033898E-3</v>
      </c>
      <c r="AN138">
        <v>8.22758898849308E-3</v>
      </c>
      <c r="AO138">
        <v>169.99899749755801</v>
      </c>
      <c r="AP138">
        <v>63.639999389648402</v>
      </c>
      <c r="AQ138">
        <v>64.690002441406193</v>
      </c>
      <c r="AR138">
        <v>63.569999694824197</v>
      </c>
      <c r="AS138">
        <v>64.5</v>
      </c>
      <c r="AT138">
        <v>61.148487091064403</v>
      </c>
      <c r="AU138">
        <v>9863300</v>
      </c>
      <c r="AV138">
        <v>0.1</v>
      </c>
      <c r="AW138">
        <v>1.2558857574237E-2</v>
      </c>
      <c r="AX138">
        <v>9.4835829033604498E-3</v>
      </c>
      <c r="AY138">
        <v>63.570000076293901</v>
      </c>
      <c r="AZ138">
        <v>2.4879999160766602</v>
      </c>
      <c r="BA138">
        <v>2.51300001144409</v>
      </c>
      <c r="BB138">
        <v>2.4449999332427899</v>
      </c>
      <c r="BC138">
        <v>2.51300001144409</v>
      </c>
      <c r="BD138">
        <v>2.51300001144409</v>
      </c>
      <c r="BE138">
        <v>0</v>
      </c>
      <c r="BF138">
        <v>0.5</v>
      </c>
      <c r="BG138">
        <v>5.2000045776367998E-3</v>
      </c>
      <c r="BH138">
        <v>3.4609157230860998E-2</v>
      </c>
      <c r="BI138">
        <v>2.4747000217437698</v>
      </c>
      <c r="BJ138">
        <f t="shared" si="2"/>
        <v>5.8302962618602162E-3</v>
      </c>
    </row>
    <row r="139" spans="1:62">
      <c r="A139" s="2">
        <v>44789</v>
      </c>
      <c r="B139">
        <v>172.77999877929599</v>
      </c>
      <c r="C139">
        <v>173.71000671386699</v>
      </c>
      <c r="D139">
        <v>171.66000366210901</v>
      </c>
      <c r="E139">
        <v>173.02999877929599</v>
      </c>
      <c r="F139">
        <v>171.56433105468699</v>
      </c>
      <c r="G139">
        <v>56377100</v>
      </c>
      <c r="H139">
        <v>0.1</v>
      </c>
      <c r="I139">
        <v>-9.2386200042637802E-4</v>
      </c>
      <c r="J139">
        <v>1.57547093039196E-2</v>
      </c>
      <c r="K139">
        <v>168.31300201415999</v>
      </c>
      <c r="L139">
        <v>121.51999664306599</v>
      </c>
      <c r="M139">
        <v>122.430000305175</v>
      </c>
      <c r="N139">
        <v>120.639999389648</v>
      </c>
      <c r="O139">
        <v>121.699996948242</v>
      </c>
      <c r="P139">
        <v>121.699996948242</v>
      </c>
      <c r="Q139">
        <v>19041200</v>
      </c>
      <c r="R139">
        <v>0.1</v>
      </c>
      <c r="S139">
        <v>-3.1127529252365999E-3</v>
      </c>
      <c r="T139">
        <v>2.51344004842688E-2</v>
      </c>
      <c r="U139">
        <v>119.16699981689401</v>
      </c>
      <c r="V139">
        <v>291.989990234375</v>
      </c>
      <c r="W139">
        <v>294.04000854492102</v>
      </c>
      <c r="X139">
        <v>290.42001342773398</v>
      </c>
      <c r="Y139">
        <v>292.70999145507801</v>
      </c>
      <c r="Z139">
        <v>288.17626953125</v>
      </c>
      <c r="AA139">
        <v>18102900</v>
      </c>
      <c r="AB139">
        <v>0.1</v>
      </c>
      <c r="AC139">
        <v>-2.5897357905874099E-3</v>
      </c>
      <c r="AD139">
        <v>2.0681932733119902E-2</v>
      </c>
      <c r="AE139">
        <v>286.59199829101499</v>
      </c>
      <c r="AF139">
        <v>165.86000061035099</v>
      </c>
      <c r="AG139">
        <v>168.25</v>
      </c>
      <c r="AH139">
        <v>165.600006103515</v>
      </c>
      <c r="AI139">
        <v>167.57000732421801</v>
      </c>
      <c r="AJ139">
        <v>159.30380249023401</v>
      </c>
      <c r="AK139">
        <v>7453600</v>
      </c>
      <c r="AL139">
        <v>0.1</v>
      </c>
      <c r="AM139">
        <v>8.9108978202228004E-3</v>
      </c>
      <c r="AN139">
        <v>8.0661485988017204E-3</v>
      </c>
      <c r="AO139">
        <v>169.46399841308499</v>
      </c>
      <c r="AP139">
        <v>64.569999694824205</v>
      </c>
      <c r="AQ139">
        <v>65.230003356933594</v>
      </c>
      <c r="AR139">
        <v>64.330001831054602</v>
      </c>
      <c r="AS139">
        <v>65.029998779296804</v>
      </c>
      <c r="AT139">
        <v>61.650936126708899</v>
      </c>
      <c r="AU139">
        <v>9569600</v>
      </c>
      <c r="AV139">
        <v>0.1</v>
      </c>
      <c r="AW139">
        <v>8.2170353379360499E-3</v>
      </c>
      <c r="AX139">
        <v>9.1728586140939795E-3</v>
      </c>
      <c r="AY139">
        <v>63.709000015258702</v>
      </c>
      <c r="AZ139">
        <v>2.6029999256134002</v>
      </c>
      <c r="BA139">
        <v>2.6099998950958199</v>
      </c>
      <c r="BB139">
        <v>2.59800004959106</v>
      </c>
      <c r="BC139">
        <v>2.59800004959106</v>
      </c>
      <c r="BD139">
        <v>2.59800004959106</v>
      </c>
      <c r="BE139">
        <v>0</v>
      </c>
      <c r="BF139">
        <v>0.5</v>
      </c>
      <c r="BG139">
        <v>3.3824129629879102E-2</v>
      </c>
      <c r="BH139">
        <v>3.01732745639323E-2</v>
      </c>
      <c r="BI139">
        <v>2.4882000207900998</v>
      </c>
      <c r="BJ139">
        <f t="shared" si="2"/>
        <v>1.7962223059130398E-2</v>
      </c>
    </row>
    <row r="140" spans="1:62">
      <c r="A140" s="2">
        <v>44790</v>
      </c>
      <c r="B140">
        <v>172.77000427246</v>
      </c>
      <c r="C140">
        <v>176.14999389648401</v>
      </c>
      <c r="D140">
        <v>172.57000732421801</v>
      </c>
      <c r="E140">
        <v>174.55000305175699</v>
      </c>
      <c r="F140">
        <v>173.07147216796801</v>
      </c>
      <c r="G140">
        <v>79542000</v>
      </c>
      <c r="H140">
        <v>0.1</v>
      </c>
      <c r="I140">
        <v>8.7846285799246804E-3</v>
      </c>
      <c r="J140">
        <v>1.5686418956625099E-2</v>
      </c>
      <c r="K140">
        <v>169.15500183105399</v>
      </c>
      <c r="L140">
        <v>120.120002746582</v>
      </c>
      <c r="M140">
        <v>121.290000915527</v>
      </c>
      <c r="N140">
        <v>119.379997253417</v>
      </c>
      <c r="O140">
        <v>119.550003051757</v>
      </c>
      <c r="P140">
        <v>119.550003051757</v>
      </c>
      <c r="Q140">
        <v>22847000</v>
      </c>
      <c r="R140">
        <v>0.1</v>
      </c>
      <c r="S140">
        <v>-1.76663430599652E-2</v>
      </c>
      <c r="T140">
        <v>2.5579939910197101E-2</v>
      </c>
      <c r="U140">
        <v>119.313999938964</v>
      </c>
      <c r="V140">
        <v>289.739990234375</v>
      </c>
      <c r="W140">
        <v>293.350006103515</v>
      </c>
      <c r="X140">
        <v>289.47000122070301</v>
      </c>
      <c r="Y140">
        <v>291.32000732421801</v>
      </c>
      <c r="Z140">
        <v>287.41662597656199</v>
      </c>
      <c r="AA140">
        <v>18253400</v>
      </c>
      <c r="AB140">
        <v>0.1</v>
      </c>
      <c r="AC140">
        <v>-4.7486733334577398E-3</v>
      </c>
      <c r="AD140">
        <v>2.0796351406752098E-2</v>
      </c>
      <c r="AE140">
        <v>287.47699890136698</v>
      </c>
      <c r="AF140">
        <v>166.41000366210901</v>
      </c>
      <c r="AG140">
        <v>168.55999755859301</v>
      </c>
      <c r="AH140">
        <v>166.41000366210901</v>
      </c>
      <c r="AI140">
        <v>167.58000183105401</v>
      </c>
      <c r="AJ140">
        <v>159.31329345703099</v>
      </c>
      <c r="AK140">
        <v>7406600</v>
      </c>
      <c r="AL140">
        <v>0.1</v>
      </c>
      <c r="AM140" s="23">
        <v>5.9643769165784699E-5</v>
      </c>
      <c r="AN140">
        <v>7.99866479444028E-3</v>
      </c>
      <c r="AO140">
        <v>168.76299896240201</v>
      </c>
      <c r="AP140">
        <v>64.830001831054602</v>
      </c>
      <c r="AQ140">
        <v>65.220001220703097</v>
      </c>
      <c r="AR140">
        <v>64.760002136230398</v>
      </c>
      <c r="AS140">
        <v>64.879997253417898</v>
      </c>
      <c r="AT140">
        <v>61.508731842041001</v>
      </c>
      <c r="AU140">
        <v>8144000</v>
      </c>
      <c r="AV140">
        <v>0.1</v>
      </c>
      <c r="AW140">
        <v>-2.3066512178170299E-3</v>
      </c>
      <c r="AX140">
        <v>8.1625781405764205E-3</v>
      </c>
      <c r="AY140">
        <v>63.804999923705999</v>
      </c>
      <c r="AZ140">
        <v>2.5</v>
      </c>
      <c r="BA140">
        <v>2.6280000209808301</v>
      </c>
      <c r="BB140">
        <v>2.5</v>
      </c>
      <c r="BC140">
        <v>2.5680000782012899</v>
      </c>
      <c r="BD140">
        <v>2.5680000782012899</v>
      </c>
      <c r="BE140">
        <v>0</v>
      </c>
      <c r="BF140">
        <v>0.5</v>
      </c>
      <c r="BG140">
        <v>-1.15473328780315E-2</v>
      </c>
      <c r="BH140">
        <v>2.9408212584733098E-2</v>
      </c>
      <c r="BI140">
        <v>2.5022000312805099</v>
      </c>
      <c r="BJ140">
        <f t="shared" si="2"/>
        <v>-7.3614059652307015E-3</v>
      </c>
    </row>
    <row r="141" spans="1:62">
      <c r="A141" s="2">
        <v>44791</v>
      </c>
      <c r="B141">
        <v>173.75</v>
      </c>
      <c r="C141">
        <v>174.89999389648401</v>
      </c>
      <c r="D141">
        <v>173.11999511718699</v>
      </c>
      <c r="E141">
        <v>174.14999389648401</v>
      </c>
      <c r="F141">
        <v>172.67483520507801</v>
      </c>
      <c r="G141">
        <v>62290100</v>
      </c>
      <c r="H141">
        <v>0.1</v>
      </c>
      <c r="I141">
        <v>-2.2916594000563701E-3</v>
      </c>
      <c r="J141">
        <v>1.5679212448595201E-2</v>
      </c>
      <c r="K141">
        <v>169.989001464843</v>
      </c>
      <c r="L141">
        <v>119.430000305175</v>
      </c>
      <c r="M141">
        <v>120.81999969482401</v>
      </c>
      <c r="N141">
        <v>118.720001220703</v>
      </c>
      <c r="O141">
        <v>120.169998168945</v>
      </c>
      <c r="P141">
        <v>120.169998168945</v>
      </c>
      <c r="Q141">
        <v>17987700</v>
      </c>
      <c r="R141">
        <v>0.1</v>
      </c>
      <c r="S141">
        <v>5.18607362075163E-3</v>
      </c>
      <c r="T141">
        <v>2.5584732745547002E-2</v>
      </c>
      <c r="U141">
        <v>119.511999511718</v>
      </c>
      <c r="V141">
        <v>290.19000244140602</v>
      </c>
      <c r="W141">
        <v>291.91000366210898</v>
      </c>
      <c r="X141">
        <v>289.079986572265</v>
      </c>
      <c r="Y141">
        <v>290.17001342773398</v>
      </c>
      <c r="Z141">
        <v>286.28204345703102</v>
      </c>
      <c r="AA141">
        <v>17186200</v>
      </c>
      <c r="AB141">
        <v>0.1</v>
      </c>
      <c r="AC141">
        <v>-3.9475280364266096E-3</v>
      </c>
      <c r="AD141">
        <v>2.0872677136064499E-2</v>
      </c>
      <c r="AE141">
        <v>288.12900085449201</v>
      </c>
      <c r="AF141">
        <v>167.67999267578099</v>
      </c>
      <c r="AG141">
        <v>168.30000305175699</v>
      </c>
      <c r="AH141">
        <v>165.92999267578099</v>
      </c>
      <c r="AI141">
        <v>166.77000427246</v>
      </c>
      <c r="AJ141">
        <v>158.54324340820301</v>
      </c>
      <c r="AK141">
        <v>8312100</v>
      </c>
      <c r="AL141">
        <v>0.1</v>
      </c>
      <c r="AM141">
        <v>-4.8334977308948004E-3</v>
      </c>
      <c r="AN141">
        <v>7.9742618860589396E-3</v>
      </c>
      <c r="AO141">
        <v>168.26100006103499</v>
      </c>
      <c r="AP141">
        <v>64.959999084472599</v>
      </c>
      <c r="AQ141">
        <v>65.349998474121094</v>
      </c>
      <c r="AR141">
        <v>64.709999084472599</v>
      </c>
      <c r="AS141">
        <v>65.220001220703097</v>
      </c>
      <c r="AT141">
        <v>61.831066131591797</v>
      </c>
      <c r="AU141">
        <v>6532000</v>
      </c>
      <c r="AV141">
        <v>0.1</v>
      </c>
      <c r="AW141">
        <v>5.2405052663166904E-3</v>
      </c>
      <c r="AX141">
        <v>8.0936494958522998E-3</v>
      </c>
      <c r="AY141">
        <v>63.960000228881803</v>
      </c>
      <c r="AZ141">
        <v>2.5480000972747798</v>
      </c>
      <c r="BA141">
        <v>2.5680000782012899</v>
      </c>
      <c r="BB141">
        <v>2.5380001068115199</v>
      </c>
      <c r="BC141">
        <v>2.5650000572204501</v>
      </c>
      <c r="BD141">
        <v>2.5650000572204501</v>
      </c>
      <c r="BE141">
        <v>0</v>
      </c>
      <c r="BF141">
        <v>0.5</v>
      </c>
      <c r="BG141">
        <v>-1.1682324335972E-3</v>
      </c>
      <c r="BH141">
        <v>2.93074492512275E-2</v>
      </c>
      <c r="BI141">
        <v>2.5209000349044799</v>
      </c>
      <c r="BJ141">
        <f t="shared" si="2"/>
        <v>-6.4872684482954613E-4</v>
      </c>
    </row>
    <row r="142" spans="1:62">
      <c r="A142" s="2">
        <v>44792</v>
      </c>
      <c r="B142">
        <v>173.02999877929599</v>
      </c>
      <c r="C142">
        <v>173.74000549316401</v>
      </c>
      <c r="D142">
        <v>171.30999755859301</v>
      </c>
      <c r="E142">
        <v>171.52000427246</v>
      </c>
      <c r="F142">
        <v>170.067123413085</v>
      </c>
      <c r="G142">
        <v>70346300</v>
      </c>
      <c r="H142">
        <v>0.1</v>
      </c>
      <c r="I142">
        <v>-1.5101864577650901E-2</v>
      </c>
      <c r="J142">
        <v>1.6079495581484402E-2</v>
      </c>
      <c r="K142">
        <v>170.606001281738</v>
      </c>
      <c r="L142">
        <v>119.059997558593</v>
      </c>
      <c r="M142">
        <v>119.150001525878</v>
      </c>
      <c r="N142">
        <v>116.76000213623</v>
      </c>
      <c r="O142">
        <v>117.209999084472</v>
      </c>
      <c r="P142">
        <v>117.209999084472</v>
      </c>
      <c r="Q142">
        <v>21809500</v>
      </c>
      <c r="R142">
        <v>0.1</v>
      </c>
      <c r="S142">
        <v>-2.4631764413537201E-2</v>
      </c>
      <c r="T142">
        <v>2.25294231103839E-2</v>
      </c>
      <c r="U142">
        <v>119.485999298095</v>
      </c>
      <c r="V142">
        <v>288.89999389648398</v>
      </c>
      <c r="W142">
        <v>289.25</v>
      </c>
      <c r="X142">
        <v>285.55999755859301</v>
      </c>
      <c r="Y142">
        <v>286.14999389648398</v>
      </c>
      <c r="Z142">
        <v>282.31585693359301</v>
      </c>
      <c r="AA142">
        <v>20570000</v>
      </c>
      <c r="AB142">
        <v>0.1</v>
      </c>
      <c r="AC142">
        <v>-1.3854014354419599E-2</v>
      </c>
      <c r="AD142">
        <v>2.0715807748820699E-2</v>
      </c>
      <c r="AE142">
        <v>288.45299987792902</v>
      </c>
      <c r="AF142">
        <v>167.100006103515</v>
      </c>
      <c r="AG142">
        <v>170.11999511718699</v>
      </c>
      <c r="AH142">
        <v>167</v>
      </c>
      <c r="AI142">
        <v>169.30999755859301</v>
      </c>
      <c r="AJ142">
        <v>160.95794677734301</v>
      </c>
      <c r="AK142">
        <v>8128500</v>
      </c>
      <c r="AL142">
        <v>0.1</v>
      </c>
      <c r="AM142">
        <v>1.52305164061943E-2</v>
      </c>
      <c r="AN142">
        <v>8.7052215196792397E-3</v>
      </c>
      <c r="AO142">
        <v>168.08099975585901</v>
      </c>
      <c r="AP142">
        <v>65.209999084472599</v>
      </c>
      <c r="AQ142">
        <v>65.470001220703097</v>
      </c>
      <c r="AR142">
        <v>64.959999084472599</v>
      </c>
      <c r="AS142">
        <v>65.169998168945298</v>
      </c>
      <c r="AT142">
        <v>61.783664703369098</v>
      </c>
      <c r="AU142">
        <v>8921100</v>
      </c>
      <c r="AV142">
        <v>0.1</v>
      </c>
      <c r="AW142">
        <v>-7.66682778625016E-4</v>
      </c>
      <c r="AX142">
        <v>8.1370566902465996E-3</v>
      </c>
      <c r="AY142">
        <v>64.138999938964801</v>
      </c>
      <c r="AZ142">
        <v>2.5729999542236301</v>
      </c>
      <c r="BA142">
        <v>2.5799999237060498</v>
      </c>
      <c r="BB142">
        <v>2.55800008773803</v>
      </c>
      <c r="BC142">
        <v>2.5799999237060498</v>
      </c>
      <c r="BD142">
        <v>2.5799999237060498</v>
      </c>
      <c r="BE142">
        <v>0</v>
      </c>
      <c r="BF142">
        <v>0.5</v>
      </c>
      <c r="BG142">
        <v>5.8479010335190599E-3</v>
      </c>
      <c r="BH142">
        <v>2.92658422183973E-2</v>
      </c>
      <c r="BI142">
        <v>2.5379000186920102</v>
      </c>
      <c r="BJ142">
        <f t="shared" si="2"/>
        <v>-9.8843045504431169E-4</v>
      </c>
    </row>
    <row r="143" spans="1:62">
      <c r="A143" s="2">
        <v>44795</v>
      </c>
      <c r="B143">
        <v>169.69000244140599</v>
      </c>
      <c r="C143">
        <v>169.86000061035099</v>
      </c>
      <c r="D143">
        <v>167.13999938964801</v>
      </c>
      <c r="E143">
        <v>167.57000732421801</v>
      </c>
      <c r="F143">
        <v>166.15058898925699</v>
      </c>
      <c r="G143">
        <v>69026800</v>
      </c>
      <c r="H143">
        <v>0.1</v>
      </c>
      <c r="I143">
        <v>-2.30293659622791E-2</v>
      </c>
      <c r="J143">
        <v>1.7087382946091901E-2</v>
      </c>
      <c r="K143">
        <v>170.876002502441</v>
      </c>
      <c r="L143">
        <v>115.199996948242</v>
      </c>
      <c r="M143">
        <v>115.629997253417</v>
      </c>
      <c r="N143">
        <v>113.84999847412099</v>
      </c>
      <c r="O143">
        <v>114.23999786376901</v>
      </c>
      <c r="P143">
        <v>114.23999786376901</v>
      </c>
      <c r="Q143">
        <v>21456600</v>
      </c>
      <c r="R143">
        <v>0.1</v>
      </c>
      <c r="S143">
        <v>-2.53391454986929E-2</v>
      </c>
      <c r="T143">
        <v>2.3440521922973901E-2</v>
      </c>
      <c r="U143">
        <v>119.179998779296</v>
      </c>
      <c r="V143">
        <v>282.079986572265</v>
      </c>
      <c r="W143">
        <v>282.45999145507801</v>
      </c>
      <c r="X143">
        <v>277.22000122070301</v>
      </c>
      <c r="Y143">
        <v>277.75</v>
      </c>
      <c r="Z143">
        <v>274.02838134765602</v>
      </c>
      <c r="AA143">
        <v>25061100</v>
      </c>
      <c r="AB143">
        <v>0.1</v>
      </c>
      <c r="AC143">
        <v>-2.9355212565627599E-2</v>
      </c>
      <c r="AD143">
        <v>2.1986873518120498E-2</v>
      </c>
      <c r="AE143">
        <v>288.19599914550702</v>
      </c>
      <c r="AF143">
        <v>168.89999389648401</v>
      </c>
      <c r="AG143">
        <v>168.919998168945</v>
      </c>
      <c r="AH143">
        <v>167.169998168945</v>
      </c>
      <c r="AI143">
        <v>167.58999633789</v>
      </c>
      <c r="AJ143">
        <v>160.393310546875</v>
      </c>
      <c r="AK143">
        <v>5462600</v>
      </c>
      <c r="AL143">
        <v>0.1</v>
      </c>
      <c r="AM143">
        <v>-1.01588875170107E-2</v>
      </c>
      <c r="AN143">
        <v>8.9227279827240307E-3</v>
      </c>
      <c r="AO143">
        <v>167.81999969482399</v>
      </c>
      <c r="AP143">
        <v>64.839996337890597</v>
      </c>
      <c r="AQ143">
        <v>64.919998168945298</v>
      </c>
      <c r="AR143">
        <v>63.990001678466797</v>
      </c>
      <c r="AS143">
        <v>64.199996948242102</v>
      </c>
      <c r="AT143">
        <v>60.864067077636697</v>
      </c>
      <c r="AU143">
        <v>9087900</v>
      </c>
      <c r="AV143">
        <v>0.1</v>
      </c>
      <c r="AW143">
        <v>-1.4884168297634601E-2</v>
      </c>
      <c r="AX143">
        <v>8.8710451777845607E-3</v>
      </c>
      <c r="AY143">
        <v>64.261999511718699</v>
      </c>
      <c r="AZ143">
        <v>2.58500003814697</v>
      </c>
      <c r="BA143">
        <v>2.6749999523162802</v>
      </c>
      <c r="BB143">
        <v>2.58500003814697</v>
      </c>
      <c r="BC143">
        <v>2.6480000019073402</v>
      </c>
      <c r="BD143">
        <v>2.6480000019073402</v>
      </c>
      <c r="BE143">
        <v>0</v>
      </c>
      <c r="BF143">
        <v>0.5</v>
      </c>
      <c r="BG143">
        <v>2.6356620237265298E-2</v>
      </c>
      <c r="BH143">
        <v>2.9558852583830699E-2</v>
      </c>
      <c r="BI143">
        <v>2.5567000150680501</v>
      </c>
      <c r="BJ143">
        <f t="shared" si="2"/>
        <v>2.9016321345081567E-3</v>
      </c>
    </row>
    <row r="144" spans="1:62">
      <c r="A144" s="2">
        <v>44796</v>
      </c>
      <c r="B144">
        <v>167.08000183105401</v>
      </c>
      <c r="C144">
        <v>168.71000671386699</v>
      </c>
      <c r="D144">
        <v>166.64999389648401</v>
      </c>
      <c r="E144">
        <v>167.22999572753901</v>
      </c>
      <c r="F144">
        <v>165.81346130371</v>
      </c>
      <c r="G144">
        <v>54147100</v>
      </c>
      <c r="H144">
        <v>0.1</v>
      </c>
      <c r="I144">
        <v>-2.0290719210975801E-3</v>
      </c>
      <c r="J144">
        <v>1.6870153380067698E-2</v>
      </c>
      <c r="K144">
        <v>171.10700225830001</v>
      </c>
      <c r="L144">
        <v>113.480003356933</v>
      </c>
      <c r="M144">
        <v>115.01000213623</v>
      </c>
      <c r="N144">
        <v>113.430000305175</v>
      </c>
      <c r="O144">
        <v>113.86000061035099</v>
      </c>
      <c r="P144">
        <v>113.86000061035099</v>
      </c>
      <c r="Q144">
        <v>15870400</v>
      </c>
      <c r="R144">
        <v>0.1</v>
      </c>
      <c r="S144">
        <v>-3.3263065522034499E-3</v>
      </c>
      <c r="T144">
        <v>2.2669204706769398E-2</v>
      </c>
      <c r="U144">
        <v>118.90299911499</v>
      </c>
      <c r="V144">
        <v>276.44000244140602</v>
      </c>
      <c r="W144">
        <v>278.85998535156199</v>
      </c>
      <c r="X144">
        <v>275.39999389648398</v>
      </c>
      <c r="Y144">
        <v>276.44000244140602</v>
      </c>
      <c r="Z144">
        <v>272.73599243164</v>
      </c>
      <c r="AA144">
        <v>17527400</v>
      </c>
      <c r="AB144">
        <v>0.1</v>
      </c>
      <c r="AC144">
        <v>-4.7164628572232596E-3</v>
      </c>
      <c r="AD144">
        <v>2.0901075719181601E-2</v>
      </c>
      <c r="AE144">
        <v>287.61000061035099</v>
      </c>
      <c r="AF144">
        <v>167</v>
      </c>
      <c r="AG144">
        <v>167.77000427246</v>
      </c>
      <c r="AH144">
        <v>165.80000305175699</v>
      </c>
      <c r="AI144">
        <v>166.13000488281199</v>
      </c>
      <c r="AJ144">
        <v>158.99598693847599</v>
      </c>
      <c r="AK144">
        <v>5566300</v>
      </c>
      <c r="AL144">
        <v>0.1</v>
      </c>
      <c r="AM144">
        <v>-8.7116861804479306E-3</v>
      </c>
      <c r="AN144">
        <v>8.83203129929464E-3</v>
      </c>
      <c r="AO144">
        <v>167.415000915527</v>
      </c>
      <c r="AP144">
        <v>63.819999694824197</v>
      </c>
      <c r="AQ144">
        <v>64.370002746582003</v>
      </c>
      <c r="AR144">
        <v>63.680000305175703</v>
      </c>
      <c r="AS144">
        <v>64.269996643066406</v>
      </c>
      <c r="AT144">
        <v>60.930423736572202</v>
      </c>
      <c r="AU144">
        <v>8443800</v>
      </c>
      <c r="AV144">
        <v>0.1</v>
      </c>
      <c r="AW144">
        <v>1.09033797744029E-3</v>
      </c>
      <c r="AX144">
        <v>8.1614017795183999E-3</v>
      </c>
      <c r="AY144">
        <v>64.383999252319299</v>
      </c>
      <c r="AZ144">
        <v>2.7179999351501398</v>
      </c>
      <c r="BA144">
        <v>2.7200000286102202</v>
      </c>
      <c r="BB144">
        <v>2.6549999713897701</v>
      </c>
      <c r="BC144">
        <v>2.7030000686645499</v>
      </c>
      <c r="BD144">
        <v>2.7030000686645499</v>
      </c>
      <c r="BE144">
        <v>0</v>
      </c>
      <c r="BF144">
        <v>0.5</v>
      </c>
      <c r="BG144">
        <v>2.07704179447076E-2</v>
      </c>
      <c r="BH144">
        <v>2.9016182080994799E-2</v>
      </c>
      <c r="BI144">
        <v>2.5700000286102198</v>
      </c>
      <c r="BJ144">
        <f t="shared" si="2"/>
        <v>8.6158900190006077E-3</v>
      </c>
    </row>
    <row r="145" spans="1:62">
      <c r="A145" s="2">
        <v>44797</v>
      </c>
      <c r="B145">
        <v>167.32000732421801</v>
      </c>
      <c r="C145">
        <v>168.11000061035099</v>
      </c>
      <c r="D145">
        <v>166.25</v>
      </c>
      <c r="E145">
        <v>167.52999877929599</v>
      </c>
      <c r="F145">
        <v>166.11093139648401</v>
      </c>
      <c r="G145">
        <v>53841500</v>
      </c>
      <c r="H145">
        <v>0.1</v>
      </c>
      <c r="I145">
        <v>1.7939547893464E-3</v>
      </c>
      <c r="J145">
        <v>1.5413241568156599E-2</v>
      </c>
      <c r="K145">
        <v>170.93600158691399</v>
      </c>
      <c r="L145">
        <v>113.5</v>
      </c>
      <c r="M145">
        <v>114.77999877929599</v>
      </c>
      <c r="N145">
        <v>112.870002746582</v>
      </c>
      <c r="O145">
        <v>113.69000244140599</v>
      </c>
      <c r="P145">
        <v>113.69000244140599</v>
      </c>
      <c r="Q145">
        <v>17734600</v>
      </c>
      <c r="R145">
        <v>0.1</v>
      </c>
      <c r="S145">
        <v>-1.49304556502749E-3</v>
      </c>
      <c r="T145">
        <v>1.49909391744413E-2</v>
      </c>
      <c r="U145">
        <v>118.301999664306</v>
      </c>
      <c r="V145">
        <v>275.41000366210898</v>
      </c>
      <c r="W145">
        <v>277.23001098632801</v>
      </c>
      <c r="X145">
        <v>275.10998535156199</v>
      </c>
      <c r="Y145">
        <v>275.79000854492102</v>
      </c>
      <c r="Z145">
        <v>272.09469604492102</v>
      </c>
      <c r="AA145">
        <v>18137000</v>
      </c>
      <c r="AB145">
        <v>0.1</v>
      </c>
      <c r="AC145">
        <v>-2.35130187651533E-3</v>
      </c>
      <c r="AD145">
        <v>1.4991374031216E-2</v>
      </c>
      <c r="AE145">
        <v>286.27300109863199</v>
      </c>
      <c r="AF145">
        <v>166.55999755859301</v>
      </c>
      <c r="AG145">
        <v>166.58999633789</v>
      </c>
      <c r="AH145">
        <v>165.07000732421801</v>
      </c>
      <c r="AI145">
        <v>165.58000183105401</v>
      </c>
      <c r="AJ145">
        <v>158.46961975097599</v>
      </c>
      <c r="AK145">
        <v>5684300</v>
      </c>
      <c r="AL145">
        <v>0.1</v>
      </c>
      <c r="AM145">
        <v>-3.3106785986419798E-3</v>
      </c>
      <c r="AN145">
        <v>8.8347720419373003E-3</v>
      </c>
      <c r="AO145">
        <v>166.90600128173801</v>
      </c>
      <c r="AP145">
        <v>64.239997863769503</v>
      </c>
      <c r="AQ145">
        <v>64.580001831054602</v>
      </c>
      <c r="AR145">
        <v>64.050003051757798</v>
      </c>
      <c r="AS145">
        <v>64.360000610351506</v>
      </c>
      <c r="AT145">
        <v>61.015754699707003</v>
      </c>
      <c r="AU145">
        <v>6844700</v>
      </c>
      <c r="AV145">
        <v>0.1</v>
      </c>
      <c r="AW145">
        <v>1.40040410745645E-3</v>
      </c>
      <c r="AX145">
        <v>8.1064833206012793E-3</v>
      </c>
      <c r="AY145">
        <v>64.454999160766604</v>
      </c>
      <c r="AZ145">
        <v>2.6979999542236301</v>
      </c>
      <c r="BA145">
        <v>2.7149999141693102</v>
      </c>
      <c r="BB145">
        <v>2.6649999618530198</v>
      </c>
      <c r="BC145">
        <v>2.7130000591278001</v>
      </c>
      <c r="BD145">
        <v>2.7130000591278001</v>
      </c>
      <c r="BE145">
        <v>0</v>
      </c>
      <c r="BF145">
        <v>0.5</v>
      </c>
      <c r="BG145">
        <v>3.6995894225773001E-3</v>
      </c>
      <c r="BH145">
        <v>2.72921723419772E-2</v>
      </c>
      <c r="BI145">
        <v>2.5878000259399401</v>
      </c>
      <c r="BJ145">
        <f t="shared" si="2"/>
        <v>1.4537279969504551E-3</v>
      </c>
    </row>
    <row r="146" spans="1:62">
      <c r="A146" s="2">
        <v>44798</v>
      </c>
      <c r="B146">
        <v>168.77999877929599</v>
      </c>
      <c r="C146">
        <v>170.13999938964801</v>
      </c>
      <c r="D146">
        <v>168.350006103515</v>
      </c>
      <c r="E146">
        <v>170.02999877929599</v>
      </c>
      <c r="F146">
        <v>168.58973693847599</v>
      </c>
      <c r="G146">
        <v>51218200</v>
      </c>
      <c r="H146">
        <v>0.1</v>
      </c>
      <c r="I146">
        <v>1.4922700520600501E-2</v>
      </c>
      <c r="J146">
        <v>1.5626253717401499E-2</v>
      </c>
      <c r="K146">
        <v>171.09000091552701</v>
      </c>
      <c r="L146">
        <v>114.23999786376901</v>
      </c>
      <c r="M146">
        <v>116.720001220703</v>
      </c>
      <c r="N146">
        <v>114.11000061035099</v>
      </c>
      <c r="O146">
        <v>116.650001525878</v>
      </c>
      <c r="P146">
        <v>116.650001525878</v>
      </c>
      <c r="Q146">
        <v>16956800</v>
      </c>
      <c r="R146">
        <v>0.1</v>
      </c>
      <c r="S146">
        <v>2.6035702532403299E-2</v>
      </c>
      <c r="T146">
        <v>1.59239200939853E-2</v>
      </c>
      <c r="U146">
        <v>118.083000183105</v>
      </c>
      <c r="V146">
        <v>277.329986572265</v>
      </c>
      <c r="W146">
        <v>279.01998901367102</v>
      </c>
      <c r="X146">
        <v>274.51998901367102</v>
      </c>
      <c r="Y146">
        <v>278.850006103515</v>
      </c>
      <c r="Z146">
        <v>275.113677978515</v>
      </c>
      <c r="AA146">
        <v>16583400</v>
      </c>
      <c r="AB146">
        <v>0.1</v>
      </c>
      <c r="AC146">
        <v>1.10953894767196E-2</v>
      </c>
      <c r="AD146">
        <v>1.3788478740432099E-2</v>
      </c>
      <c r="AE146">
        <v>285.45600280761698</v>
      </c>
      <c r="AF146">
        <v>165.94999694824199</v>
      </c>
      <c r="AG146">
        <v>167.24000549316401</v>
      </c>
      <c r="AH146">
        <v>164.69999694824199</v>
      </c>
      <c r="AI146">
        <v>167.13000488281199</v>
      </c>
      <c r="AJ146">
        <v>159.95304870605401</v>
      </c>
      <c r="AK146">
        <v>5678700</v>
      </c>
      <c r="AL146">
        <v>0.1</v>
      </c>
      <c r="AM146">
        <v>9.3610522684939301E-3</v>
      </c>
      <c r="AN146">
        <v>9.0394367575834904E-3</v>
      </c>
      <c r="AO146">
        <v>166.90500183105399</v>
      </c>
      <c r="AP146">
        <v>64.360000610351506</v>
      </c>
      <c r="AQ146">
        <v>64.709999084472599</v>
      </c>
      <c r="AR146">
        <v>63.900001525878899</v>
      </c>
      <c r="AS146">
        <v>64.669998168945298</v>
      </c>
      <c r="AT146">
        <v>61.309646606445298</v>
      </c>
      <c r="AU146">
        <v>7913900</v>
      </c>
      <c r="AV146">
        <v>0.1</v>
      </c>
      <c r="AW146">
        <v>4.81661832899193E-3</v>
      </c>
      <c r="AX146">
        <v>7.3015751875932901E-3</v>
      </c>
      <c r="AY146">
        <v>64.599998855590798</v>
      </c>
      <c r="AZ146">
        <v>2.7049999237060498</v>
      </c>
      <c r="BA146">
        <v>2.7300000190734801</v>
      </c>
      <c r="BB146">
        <v>2.70000004768371</v>
      </c>
      <c r="BC146">
        <v>2.7300000190734801</v>
      </c>
      <c r="BD146">
        <v>2.7300000190734801</v>
      </c>
      <c r="BE146">
        <v>0</v>
      </c>
      <c r="BF146">
        <v>0.5</v>
      </c>
      <c r="BG146">
        <v>6.26611115929875E-3</v>
      </c>
      <c r="BH146">
        <v>2.5765025806147202E-2</v>
      </c>
      <c r="BI146">
        <v>2.6118000268936101</v>
      </c>
      <c r="BJ146">
        <f t="shared" si="2"/>
        <v>9.7562018923703017E-3</v>
      </c>
    </row>
    <row r="147" spans="1:62">
      <c r="A147" s="2">
        <v>44799</v>
      </c>
      <c r="B147">
        <v>170.57000732421801</v>
      </c>
      <c r="C147">
        <v>171.05000305175699</v>
      </c>
      <c r="D147">
        <v>163.55999755859301</v>
      </c>
      <c r="E147">
        <v>163.61999511718699</v>
      </c>
      <c r="F147">
        <v>162.23403930664</v>
      </c>
      <c r="G147">
        <v>78961000</v>
      </c>
      <c r="H147">
        <v>0.1</v>
      </c>
      <c r="I147">
        <v>-3.7699251356401599E-2</v>
      </c>
      <c r="J147">
        <v>1.6702306426702299E-2</v>
      </c>
      <c r="K147">
        <v>170.24199981689401</v>
      </c>
      <c r="L147">
        <v>114.720001220703</v>
      </c>
      <c r="M147">
        <v>115.120002746582</v>
      </c>
      <c r="N147">
        <v>110.19000244140599</v>
      </c>
      <c r="O147">
        <v>110.33999633789</v>
      </c>
      <c r="P147">
        <v>110.33999633789</v>
      </c>
      <c r="Q147">
        <v>37245700</v>
      </c>
      <c r="R147">
        <v>0.1</v>
      </c>
      <c r="S147">
        <v>-5.40934856875111E-2</v>
      </c>
      <c r="T147">
        <v>1.9619181347232999E-2</v>
      </c>
      <c r="U147">
        <v>116.94899978637601</v>
      </c>
      <c r="V147">
        <v>279.079986572265</v>
      </c>
      <c r="W147">
        <v>280.33999633789</v>
      </c>
      <c r="X147">
        <v>267.98001098632801</v>
      </c>
      <c r="Y147">
        <v>268.08999633789</v>
      </c>
      <c r="Z147">
        <v>264.49786376953102</v>
      </c>
      <c r="AA147">
        <v>27549300</v>
      </c>
      <c r="AB147">
        <v>0.1</v>
      </c>
      <c r="AC147">
        <v>-3.85870881481373E-2</v>
      </c>
      <c r="AD147">
        <v>1.5838319710972899E-2</v>
      </c>
      <c r="AE147">
        <v>283.07400207519498</v>
      </c>
      <c r="AF147">
        <v>167.46000671386699</v>
      </c>
      <c r="AG147">
        <v>167.5</v>
      </c>
      <c r="AH147">
        <v>164.19999694824199</v>
      </c>
      <c r="AI147">
        <v>164.27000427246</v>
      </c>
      <c r="AJ147">
        <v>157.21586608886699</v>
      </c>
      <c r="AK147">
        <v>5667100</v>
      </c>
      <c r="AL147">
        <v>0.1</v>
      </c>
      <c r="AM147">
        <v>-1.7112430603690301E-2</v>
      </c>
      <c r="AN147">
        <v>9.5891056072814999E-3</v>
      </c>
      <c r="AO147">
        <v>166.802001953125</v>
      </c>
      <c r="AP147">
        <v>64.730003356933594</v>
      </c>
      <c r="AQ147">
        <v>64.800003051757798</v>
      </c>
      <c r="AR147">
        <v>62.9799995422363</v>
      </c>
      <c r="AS147">
        <v>63.110000610351499</v>
      </c>
      <c r="AT147">
        <v>59.830703735351499</v>
      </c>
      <c r="AU147">
        <v>10089500</v>
      </c>
      <c r="AV147">
        <v>0.1</v>
      </c>
      <c r="AW147">
        <v>-2.4122430845264199E-2</v>
      </c>
      <c r="AX147">
        <v>9.1315299002627196E-3</v>
      </c>
      <c r="AY147">
        <v>64.540998840331994</v>
      </c>
      <c r="AZ147">
        <v>2.7379999160766602</v>
      </c>
      <c r="BA147">
        <v>2.75500011444091</v>
      </c>
      <c r="BB147">
        <v>2.6979999542236301</v>
      </c>
      <c r="BC147">
        <v>2.75500011444091</v>
      </c>
      <c r="BD147">
        <v>2.75500011444091</v>
      </c>
      <c r="BE147">
        <v>0</v>
      </c>
      <c r="BF147">
        <v>0.5</v>
      </c>
      <c r="BG147">
        <v>9.1575440266540298E-3</v>
      </c>
      <c r="BH147">
        <v>2.5580791045275799E-2</v>
      </c>
      <c r="BI147">
        <v>2.6373000383376999</v>
      </c>
      <c r="BJ147">
        <f t="shared" si="2"/>
        <v>-1.2582696650773436E-2</v>
      </c>
    </row>
    <row r="148" spans="1:62">
      <c r="A148" s="2">
        <v>44802</v>
      </c>
      <c r="B148">
        <v>161.14999389648401</v>
      </c>
      <c r="C148">
        <v>162.89999389648401</v>
      </c>
      <c r="D148">
        <v>159.82000732421801</v>
      </c>
      <c r="E148">
        <v>161.38000488281199</v>
      </c>
      <c r="F148">
        <v>160.01301574707</v>
      </c>
      <c r="G148">
        <v>73314000</v>
      </c>
      <c r="H148">
        <v>0.1</v>
      </c>
      <c r="I148">
        <v>-1.36901986384407E-2</v>
      </c>
      <c r="J148">
        <v>1.6942963134971799E-2</v>
      </c>
      <c r="K148">
        <v>169.061000061035</v>
      </c>
      <c r="L148">
        <v>109.98999786376901</v>
      </c>
      <c r="M148">
        <v>110.949996948242</v>
      </c>
      <c r="N148">
        <v>108.800003051757</v>
      </c>
      <c r="O148">
        <v>109.419998168945</v>
      </c>
      <c r="P148">
        <v>109.419998168945</v>
      </c>
      <c r="Q148">
        <v>21191200</v>
      </c>
      <c r="R148">
        <v>0.1</v>
      </c>
      <c r="S148">
        <v>-8.3378484636525904E-3</v>
      </c>
      <c r="T148">
        <v>1.9527412355320101E-2</v>
      </c>
      <c r="U148">
        <v>115.682999420166</v>
      </c>
      <c r="V148">
        <v>265.850006103515</v>
      </c>
      <c r="W148">
        <v>267.39999389648398</v>
      </c>
      <c r="X148">
        <v>263.850006103515</v>
      </c>
      <c r="Y148">
        <v>265.23001098632801</v>
      </c>
      <c r="Z148">
        <v>261.67620849609301</v>
      </c>
      <c r="AA148">
        <v>20338500</v>
      </c>
      <c r="AB148">
        <v>0.1</v>
      </c>
      <c r="AC148">
        <v>-1.0668004739564699E-2</v>
      </c>
      <c r="AD148">
        <v>1.5863356922911201E-2</v>
      </c>
      <c r="AE148">
        <v>280.25000305175701</v>
      </c>
      <c r="AF148">
        <v>163.47000122070301</v>
      </c>
      <c r="AG148">
        <v>163.83999633789</v>
      </c>
      <c r="AH148">
        <v>162.02000427246</v>
      </c>
      <c r="AI148">
        <v>163</v>
      </c>
      <c r="AJ148">
        <v>156.00041198730401</v>
      </c>
      <c r="AK148">
        <v>5259200</v>
      </c>
      <c r="AL148">
        <v>0.1</v>
      </c>
      <c r="AM148">
        <v>-7.7312000939288002E-3</v>
      </c>
      <c r="AN148">
        <v>9.6477321230930297E-3</v>
      </c>
      <c r="AO148">
        <v>166.49300231933501</v>
      </c>
      <c r="AP148">
        <v>62.689998626708899</v>
      </c>
      <c r="AQ148">
        <v>63.029998779296797</v>
      </c>
      <c r="AR148">
        <v>62.409999847412102</v>
      </c>
      <c r="AS148">
        <v>62.7299995422363</v>
      </c>
      <c r="AT148">
        <v>59.470455169677699</v>
      </c>
      <c r="AU148">
        <v>9115900</v>
      </c>
      <c r="AV148">
        <v>0.1</v>
      </c>
      <c r="AW148">
        <v>-6.0212496346087E-3</v>
      </c>
      <c r="AX148">
        <v>9.0787279855699399E-3</v>
      </c>
      <c r="AY148">
        <v>64.363998794555599</v>
      </c>
      <c r="AZ148">
        <v>2.75</v>
      </c>
      <c r="BA148">
        <v>2.8129999637603702</v>
      </c>
      <c r="BB148">
        <v>2.75</v>
      </c>
      <c r="BC148">
        <v>2.7980000972747798</v>
      </c>
      <c r="BD148">
        <v>2.7980000972747798</v>
      </c>
      <c r="BE148">
        <v>0</v>
      </c>
      <c r="BF148">
        <v>0.5</v>
      </c>
      <c r="BG148">
        <v>1.5607978601695299E-2</v>
      </c>
      <c r="BH148">
        <v>2.4985856623461099E-2</v>
      </c>
      <c r="BI148">
        <v>2.6658000469207699</v>
      </c>
      <c r="BJ148">
        <f t="shared" si="2"/>
        <v>3.1591391438281005E-3</v>
      </c>
    </row>
    <row r="149" spans="1:62">
      <c r="A149" s="2">
        <v>44803</v>
      </c>
      <c r="B149">
        <v>162.13000488281199</v>
      </c>
      <c r="C149">
        <v>162.55999755859301</v>
      </c>
      <c r="D149">
        <v>157.72000122070301</v>
      </c>
      <c r="E149">
        <v>158.91000366210901</v>
      </c>
      <c r="F149">
        <v>157.56394958496</v>
      </c>
      <c r="G149">
        <v>77906200</v>
      </c>
      <c r="H149">
        <v>0.1</v>
      </c>
      <c r="I149">
        <v>-1.53054972485391E-2</v>
      </c>
      <c r="J149">
        <v>1.7170297014638101E-2</v>
      </c>
      <c r="K149">
        <v>167.64900054931601</v>
      </c>
      <c r="L149">
        <v>110.169998168945</v>
      </c>
      <c r="M149">
        <v>110.5</v>
      </c>
      <c r="N149">
        <v>107.800003051757</v>
      </c>
      <c r="O149">
        <v>108.94000244140599</v>
      </c>
      <c r="P149">
        <v>108.94000244140599</v>
      </c>
      <c r="Q149">
        <v>27513300</v>
      </c>
      <c r="R149">
        <v>0.1</v>
      </c>
      <c r="S149">
        <v>-4.3867276144342604E-3</v>
      </c>
      <c r="T149">
        <v>1.9502146363957501E-2</v>
      </c>
      <c r="U149">
        <v>114.406999969482</v>
      </c>
      <c r="V149">
        <v>266.67001342773398</v>
      </c>
      <c r="W149">
        <v>267.04998779296801</v>
      </c>
      <c r="X149">
        <v>260.66000366210898</v>
      </c>
      <c r="Y149">
        <v>262.97000122070301</v>
      </c>
      <c r="Z149">
        <v>259.44647216796801</v>
      </c>
      <c r="AA149">
        <v>22767100</v>
      </c>
      <c r="AB149">
        <v>0.1</v>
      </c>
      <c r="AC149">
        <v>-8.5209428496442197E-3</v>
      </c>
      <c r="AD149">
        <v>1.57863317729381E-2</v>
      </c>
      <c r="AE149">
        <v>277.27600402832002</v>
      </c>
      <c r="AF149">
        <v>163.30000305175699</v>
      </c>
      <c r="AG149">
        <v>163.53999328613199</v>
      </c>
      <c r="AH149">
        <v>162.02999877929599</v>
      </c>
      <c r="AI149">
        <v>162.42999267578099</v>
      </c>
      <c r="AJ149">
        <v>155.45487976074199</v>
      </c>
      <c r="AK149">
        <v>6973300</v>
      </c>
      <c r="AL149">
        <v>0.1</v>
      </c>
      <c r="AM149">
        <v>-3.4969774491947401E-3</v>
      </c>
      <c r="AN149">
        <v>9.6302297814883399E-3</v>
      </c>
      <c r="AO149">
        <v>165.979000854492</v>
      </c>
      <c r="AP149">
        <v>62.909999847412102</v>
      </c>
      <c r="AQ149">
        <v>62.909999847412102</v>
      </c>
      <c r="AR149">
        <v>61.990001678466797</v>
      </c>
      <c r="AS149">
        <v>62.150001525878899</v>
      </c>
      <c r="AT149">
        <v>58.920589447021399</v>
      </c>
      <c r="AU149">
        <v>8456800</v>
      </c>
      <c r="AV149">
        <v>0.1</v>
      </c>
      <c r="AW149">
        <v>-9.2459432582476797E-3</v>
      </c>
      <c r="AX149">
        <v>8.8154911656824798E-3</v>
      </c>
      <c r="AY149">
        <v>64.075999069213793</v>
      </c>
      <c r="AZ149">
        <v>2.8650000095367401</v>
      </c>
      <c r="BA149">
        <v>2.9030001163482599</v>
      </c>
      <c r="BB149">
        <v>2.8529999256134002</v>
      </c>
      <c r="BC149">
        <v>2.8729999065399099</v>
      </c>
      <c r="BD149">
        <v>2.8729999065399099</v>
      </c>
      <c r="BE149">
        <v>0</v>
      </c>
      <c r="BF149">
        <v>0.5</v>
      </c>
      <c r="BG149">
        <v>2.6804791514548398E-2</v>
      </c>
      <c r="BH149">
        <v>1.7884318705059601E-2</v>
      </c>
      <c r="BI149">
        <v>2.6933000326156602</v>
      </c>
      <c r="BJ149">
        <f t="shared" si="2"/>
        <v>9.306786915268199E-3</v>
      </c>
    </row>
    <row r="150" spans="1:62">
      <c r="A150" s="2">
        <v>44804</v>
      </c>
      <c r="B150">
        <v>160.30999755859301</v>
      </c>
      <c r="C150">
        <v>160.58000183105401</v>
      </c>
      <c r="D150">
        <v>157.13999938964801</v>
      </c>
      <c r="E150">
        <v>157.22000122070301</v>
      </c>
      <c r="F150">
        <v>155.88827514648401</v>
      </c>
      <c r="G150">
        <v>87991100</v>
      </c>
      <c r="H150">
        <v>0.1</v>
      </c>
      <c r="I150">
        <v>-1.0634965719336901E-2</v>
      </c>
      <c r="J150">
        <v>1.47117278162021E-2</v>
      </c>
      <c r="K150">
        <v>165.91600036621</v>
      </c>
      <c r="L150">
        <v>110.650001525878</v>
      </c>
      <c r="M150">
        <v>110.84999847412099</v>
      </c>
      <c r="N150">
        <v>108.129997253417</v>
      </c>
      <c r="O150">
        <v>108.220001220703</v>
      </c>
      <c r="P150">
        <v>108.220001220703</v>
      </c>
      <c r="Q150">
        <v>28627000</v>
      </c>
      <c r="R150">
        <v>0.1</v>
      </c>
      <c r="S150">
        <v>-6.6091537044932203E-3</v>
      </c>
      <c r="T150">
        <v>1.8346664963937599E-2</v>
      </c>
      <c r="U150">
        <v>113.273999786376</v>
      </c>
      <c r="V150">
        <v>265.39001464843699</v>
      </c>
      <c r="W150">
        <v>267.10998535156199</v>
      </c>
      <c r="X150">
        <v>261.329986572265</v>
      </c>
      <c r="Y150">
        <v>261.47000122070301</v>
      </c>
      <c r="Z150">
        <v>257.966552734375</v>
      </c>
      <c r="AA150">
        <v>24791800</v>
      </c>
      <c r="AB150">
        <v>0.1</v>
      </c>
      <c r="AC150">
        <v>-5.70407268143524E-3</v>
      </c>
      <c r="AD150">
        <v>1.41359715847662E-2</v>
      </c>
      <c r="AE150">
        <v>274.291003417968</v>
      </c>
      <c r="AF150">
        <v>163.22999572753901</v>
      </c>
      <c r="AG150">
        <v>163.55000305175699</v>
      </c>
      <c r="AH150">
        <v>161.27000427246</v>
      </c>
      <c r="AI150">
        <v>161.33999633789</v>
      </c>
      <c r="AJ150">
        <v>154.41168212890599</v>
      </c>
      <c r="AK150">
        <v>8741700</v>
      </c>
      <c r="AL150">
        <v>0.1</v>
      </c>
      <c r="AM150">
        <v>-6.7105607771977801E-3</v>
      </c>
      <c r="AN150">
        <v>9.1755448442766303E-3</v>
      </c>
      <c r="AO150">
        <v>165.355000305175</v>
      </c>
      <c r="AP150">
        <v>62.380001068115199</v>
      </c>
      <c r="AQ150">
        <v>62.529998779296797</v>
      </c>
      <c r="AR150">
        <v>61.700000762939403</v>
      </c>
      <c r="AS150">
        <v>61.709999084472599</v>
      </c>
      <c r="AT150">
        <v>58.503452301025298</v>
      </c>
      <c r="AU150">
        <v>14633600</v>
      </c>
      <c r="AV150">
        <v>0.1</v>
      </c>
      <c r="AW150">
        <v>-7.0796851263638097E-3</v>
      </c>
      <c r="AX150">
        <v>8.8090635672844093E-3</v>
      </c>
      <c r="AY150">
        <v>63.758999252319299</v>
      </c>
      <c r="AZ150">
        <v>2.8629999160766602</v>
      </c>
      <c r="BA150">
        <v>2.8699998855590798</v>
      </c>
      <c r="BB150">
        <v>2.8399999141693102</v>
      </c>
      <c r="BC150">
        <v>2.8599998950958199</v>
      </c>
      <c r="BD150">
        <v>2.8599998950958199</v>
      </c>
      <c r="BE150">
        <v>0</v>
      </c>
      <c r="BF150">
        <v>0.5</v>
      </c>
      <c r="BG150">
        <v>-4.5248910083496297E-3</v>
      </c>
      <c r="BH150">
        <v>1.73786834148827E-2</v>
      </c>
      <c r="BI150">
        <v>2.7225000143051101</v>
      </c>
      <c r="BJ150">
        <f t="shared" si="2"/>
        <v>-5.9362893050575105E-3</v>
      </c>
    </row>
    <row r="151" spans="1:62">
      <c r="A151" s="2">
        <v>44805</v>
      </c>
      <c r="B151">
        <v>156.63999938964801</v>
      </c>
      <c r="C151">
        <v>158.419998168945</v>
      </c>
      <c r="D151">
        <v>154.669998168945</v>
      </c>
      <c r="E151">
        <v>157.96000671386699</v>
      </c>
      <c r="F151">
        <v>156.62200927734301</v>
      </c>
      <c r="G151">
        <v>74229900</v>
      </c>
      <c r="H151">
        <v>0.1</v>
      </c>
      <c r="I151">
        <v>4.7068152106501896E-3</v>
      </c>
      <c r="J151">
        <v>1.48033623710667E-2</v>
      </c>
      <c r="K151">
        <v>164.297001647949</v>
      </c>
      <c r="L151">
        <v>108.27999877929599</v>
      </c>
      <c r="M151">
        <v>110.449996948242</v>
      </c>
      <c r="N151">
        <v>107.36000061035099</v>
      </c>
      <c r="O151">
        <v>109.73999786376901</v>
      </c>
      <c r="P151">
        <v>109.73999786376901</v>
      </c>
      <c r="Q151">
        <v>28360900</v>
      </c>
      <c r="R151">
        <v>0.1</v>
      </c>
      <c r="S151">
        <v>1.4045431767890399E-2</v>
      </c>
      <c r="T151">
        <v>1.87687677450445E-2</v>
      </c>
      <c r="U151">
        <v>112.230999755859</v>
      </c>
      <c r="V151">
        <v>258.86999511718699</v>
      </c>
      <c r="W151">
        <v>260.89001464843699</v>
      </c>
      <c r="X151">
        <v>255.41000366210901</v>
      </c>
      <c r="Y151">
        <v>260.39999389648398</v>
      </c>
      <c r="Z151">
        <v>256.91085815429602</v>
      </c>
      <c r="AA151">
        <v>23263400</v>
      </c>
      <c r="AB151">
        <v>0.1</v>
      </c>
      <c r="AC151">
        <v>-4.0922756691906797E-3</v>
      </c>
      <c r="AD151">
        <v>1.40119972516787E-2</v>
      </c>
      <c r="AE151">
        <v>271.31400146484299</v>
      </c>
      <c r="AF151">
        <v>161.49000549316401</v>
      </c>
      <c r="AG151">
        <v>165.5</v>
      </c>
      <c r="AH151">
        <v>161.47999572753901</v>
      </c>
      <c r="AI151">
        <v>165.33999633789</v>
      </c>
      <c r="AJ151">
        <v>158.23991394042901</v>
      </c>
      <c r="AK151">
        <v>7509600</v>
      </c>
      <c r="AL151">
        <v>0.1</v>
      </c>
      <c r="AM151">
        <v>2.4792364514642101E-2</v>
      </c>
      <c r="AN151">
        <v>1.07411434485694E-2</v>
      </c>
      <c r="AO151">
        <v>165.21199951171801</v>
      </c>
      <c r="AP151">
        <v>61.580001831054602</v>
      </c>
      <c r="AQ151">
        <v>62.040000915527301</v>
      </c>
      <c r="AR151">
        <v>61.290000915527301</v>
      </c>
      <c r="AS151">
        <v>62</v>
      </c>
      <c r="AT151">
        <v>58.778388977050703</v>
      </c>
      <c r="AU151">
        <v>14939700</v>
      </c>
      <c r="AV151">
        <v>0.1</v>
      </c>
      <c r="AW151">
        <v>4.6994153270099003E-3</v>
      </c>
      <c r="AX151">
        <v>8.9062527369707899E-3</v>
      </c>
      <c r="AY151">
        <v>63.436999130248999</v>
      </c>
      <c r="AZ151">
        <v>2.8599998950958199</v>
      </c>
      <c r="BA151">
        <v>2.8699998855590798</v>
      </c>
      <c r="BB151">
        <v>2.84800004959106</v>
      </c>
      <c r="BC151">
        <v>2.8629999160766602</v>
      </c>
      <c r="BD151">
        <v>2.8629999160766602</v>
      </c>
      <c r="BE151">
        <v>0</v>
      </c>
      <c r="BF151">
        <v>0.5</v>
      </c>
      <c r="BG151">
        <v>1.0489584233828099E-3</v>
      </c>
      <c r="BH151">
        <v>1.61081263095674E-2</v>
      </c>
      <c r="BI151">
        <v>2.7523000001907301</v>
      </c>
      <c r="BJ151">
        <f t="shared" si="2"/>
        <v>4.9396543267915963E-3</v>
      </c>
    </row>
    <row r="152" spans="1:62">
      <c r="A152" s="2">
        <v>44806</v>
      </c>
      <c r="B152">
        <v>159.75</v>
      </c>
      <c r="C152">
        <v>160.36000061035099</v>
      </c>
      <c r="D152">
        <v>154.97000122070301</v>
      </c>
      <c r="E152">
        <v>155.80999755859301</v>
      </c>
      <c r="F152">
        <v>154.49020385742099</v>
      </c>
      <c r="G152">
        <v>76957800</v>
      </c>
      <c r="H152">
        <v>0.1</v>
      </c>
      <c r="I152">
        <v>-1.3611098150736399E-2</v>
      </c>
      <c r="J152">
        <v>1.5017738050371199E-2</v>
      </c>
      <c r="K152">
        <v>162.72600097656201</v>
      </c>
      <c r="L152">
        <v>110.58999633789</v>
      </c>
      <c r="M152">
        <v>110.73999786376901</v>
      </c>
      <c r="N152">
        <v>107.26000213623</v>
      </c>
      <c r="O152">
        <v>107.84999847412099</v>
      </c>
      <c r="P152">
        <v>107.84999847412099</v>
      </c>
      <c r="Q152">
        <v>24160700</v>
      </c>
      <c r="R152">
        <v>0.1</v>
      </c>
      <c r="S152">
        <v>-1.72225207439375E-2</v>
      </c>
      <c r="T152">
        <v>1.9012087058272599E-2</v>
      </c>
      <c r="U152">
        <v>111.294999694824</v>
      </c>
      <c r="V152">
        <v>261.70001220703102</v>
      </c>
      <c r="W152">
        <v>264.739990234375</v>
      </c>
      <c r="X152">
        <v>254.47000122070301</v>
      </c>
      <c r="Y152">
        <v>256.05999755859301</v>
      </c>
      <c r="Z152">
        <v>252.62905883789</v>
      </c>
      <c r="AA152">
        <v>22855400</v>
      </c>
      <c r="AB152">
        <v>0.1</v>
      </c>
      <c r="AC152">
        <v>-1.6666652993916301E-2</v>
      </c>
      <c r="AD152">
        <v>1.42794473901351E-2</v>
      </c>
      <c r="AE152">
        <v>268.30500183105403</v>
      </c>
      <c r="AF152">
        <v>165.86000061035099</v>
      </c>
      <c r="AG152">
        <v>166.19999694824199</v>
      </c>
      <c r="AH152">
        <v>162.009994506835</v>
      </c>
      <c r="AI152">
        <v>162.74000549316401</v>
      </c>
      <c r="AJ152">
        <v>155.75157165527301</v>
      </c>
      <c r="AK152">
        <v>5803700</v>
      </c>
      <c r="AL152">
        <v>0.1</v>
      </c>
      <c r="AM152">
        <v>-1.5725117347971801E-2</v>
      </c>
      <c r="AN152">
        <v>1.11757697462348E-2</v>
      </c>
      <c r="AO152">
        <v>164.55500030517501</v>
      </c>
      <c r="AP152">
        <v>62.389999389648402</v>
      </c>
      <c r="AQ152">
        <v>62.770000457763601</v>
      </c>
      <c r="AR152">
        <v>60.900001525878899</v>
      </c>
      <c r="AS152">
        <v>61.150001525878899</v>
      </c>
      <c r="AT152">
        <v>57.972557067871001</v>
      </c>
      <c r="AU152">
        <v>11809800</v>
      </c>
      <c r="AV152">
        <v>0.1</v>
      </c>
      <c r="AW152">
        <v>-1.37096528084047E-2</v>
      </c>
      <c r="AX152">
        <v>9.3090248584120506E-3</v>
      </c>
      <c r="AY152">
        <v>63.034999465942299</v>
      </c>
      <c r="AZ152">
        <v>2.83500003814697</v>
      </c>
      <c r="BA152">
        <v>2.84800004959106</v>
      </c>
      <c r="BB152">
        <v>2.7999999523162802</v>
      </c>
      <c r="BC152">
        <v>2.8199999332427899</v>
      </c>
      <c r="BD152">
        <v>2.8199999332427899</v>
      </c>
      <c r="BE152">
        <v>0</v>
      </c>
      <c r="BF152">
        <v>0.5</v>
      </c>
      <c r="BG152">
        <v>-1.5019205062635099E-2</v>
      </c>
      <c r="BH152">
        <v>1.6970325102568198E-2</v>
      </c>
      <c r="BI152">
        <v>2.7763000011444001</v>
      </c>
      <c r="BJ152">
        <f t="shared" si="2"/>
        <v>-1.5203106735814221E-2</v>
      </c>
    </row>
    <row r="153" spans="1:62">
      <c r="A153" s="2">
        <v>44810</v>
      </c>
      <c r="B153">
        <v>156.47000122070301</v>
      </c>
      <c r="C153">
        <v>157.08999633789</v>
      </c>
      <c r="D153">
        <v>153.69000244140599</v>
      </c>
      <c r="E153">
        <v>154.52999877929599</v>
      </c>
      <c r="F153">
        <v>153.22103881835901</v>
      </c>
      <c r="G153">
        <v>73714800</v>
      </c>
      <c r="H153">
        <v>0.1</v>
      </c>
      <c r="I153">
        <v>-8.2151261109898403E-3</v>
      </c>
      <c r="J153">
        <v>1.5065451084180699E-2</v>
      </c>
      <c r="K153">
        <v>161.42200012206999</v>
      </c>
      <c r="L153">
        <v>107.300003051757</v>
      </c>
      <c r="M153">
        <v>108.02999877929599</v>
      </c>
      <c r="N153">
        <v>105.77999877929599</v>
      </c>
      <c r="O153">
        <v>106.809997558593</v>
      </c>
      <c r="P153">
        <v>106.809997558593</v>
      </c>
      <c r="Q153">
        <v>25068300</v>
      </c>
      <c r="R153">
        <v>0.1</v>
      </c>
      <c r="S153">
        <v>-9.6430313420624494E-3</v>
      </c>
      <c r="T153">
        <v>1.90404450805856E-2</v>
      </c>
      <c r="U153">
        <v>110.551999664306</v>
      </c>
      <c r="V153">
        <v>256.20001220703102</v>
      </c>
      <c r="W153">
        <v>257.829986572265</v>
      </c>
      <c r="X153">
        <v>251.94000244140599</v>
      </c>
      <c r="Y153">
        <v>253.25</v>
      </c>
      <c r="Z153">
        <v>249.85670471191401</v>
      </c>
      <c r="AA153">
        <v>21328200</v>
      </c>
      <c r="AB153">
        <v>0.1</v>
      </c>
      <c r="AC153">
        <v>-1.09739810411063E-2</v>
      </c>
      <c r="AD153">
        <v>1.4313890330348199E-2</v>
      </c>
      <c r="AE153">
        <v>265.85500183105398</v>
      </c>
      <c r="AF153">
        <v>163.94000244140599</v>
      </c>
      <c r="AG153">
        <v>166.22000122070301</v>
      </c>
      <c r="AH153">
        <v>162.82000732421801</v>
      </c>
      <c r="AI153">
        <v>163.17999267578099</v>
      </c>
      <c r="AJ153">
        <v>156.17265319824199</v>
      </c>
      <c r="AK153">
        <v>7394600</v>
      </c>
      <c r="AL153">
        <v>0.1</v>
      </c>
      <c r="AM153">
        <v>2.70362030088344E-3</v>
      </c>
      <c r="AN153">
        <v>1.1211128522887699E-2</v>
      </c>
      <c r="AO153">
        <v>164.11399993896401</v>
      </c>
      <c r="AP153">
        <v>61.290000915527301</v>
      </c>
      <c r="AQ153">
        <v>61.970001220703097</v>
      </c>
      <c r="AR153">
        <v>60.990001678466797</v>
      </c>
      <c r="AS153">
        <v>61.180000305175703</v>
      </c>
      <c r="AT153">
        <v>58.000991821288999</v>
      </c>
      <c r="AU153">
        <v>12181800</v>
      </c>
      <c r="AV153">
        <v>0.1</v>
      </c>
      <c r="AW153">
        <v>4.9057691820619798E-4</v>
      </c>
      <c r="AX153">
        <v>9.2531714837033596E-3</v>
      </c>
      <c r="AY153">
        <v>62.7329998016357</v>
      </c>
      <c r="AZ153">
        <v>2.8229999542236301</v>
      </c>
      <c r="BA153">
        <v>2.8629999160766602</v>
      </c>
      <c r="BB153">
        <v>2.8180000782012899</v>
      </c>
      <c r="BC153">
        <v>2.8450000286102202</v>
      </c>
      <c r="BD153">
        <v>2.8450000286102202</v>
      </c>
      <c r="BE153">
        <v>0</v>
      </c>
      <c r="BF153">
        <v>0.5</v>
      </c>
      <c r="BG153">
        <v>8.8652822550543409E-3</v>
      </c>
      <c r="BH153">
        <v>1.67073387809216E-2</v>
      </c>
      <c r="BI153">
        <v>2.7960000038146902</v>
      </c>
      <c r="BJ153">
        <f t="shared" si="2"/>
        <v>1.8688470000202751E-3</v>
      </c>
    </row>
    <row r="154" spans="1:62">
      <c r="A154" s="2">
        <v>44811</v>
      </c>
      <c r="B154">
        <v>154.82000732421801</v>
      </c>
      <c r="C154">
        <v>156.669998168945</v>
      </c>
      <c r="D154">
        <v>153.61000061035099</v>
      </c>
      <c r="E154">
        <v>155.96000671386699</v>
      </c>
      <c r="F154">
        <v>154.63893127441401</v>
      </c>
      <c r="G154">
        <v>87449600</v>
      </c>
      <c r="H154">
        <v>0.1</v>
      </c>
      <c r="I154">
        <v>9.2539179826998108E-3</v>
      </c>
      <c r="J154">
        <v>1.53037076869602E-2</v>
      </c>
      <c r="K154">
        <v>160.295001220703</v>
      </c>
      <c r="L154">
        <v>107.059997558593</v>
      </c>
      <c r="M154">
        <v>109.980003356933</v>
      </c>
      <c r="N154">
        <v>106.900001525878</v>
      </c>
      <c r="O154">
        <v>109.449996948242</v>
      </c>
      <c r="P154">
        <v>109.449996948242</v>
      </c>
      <c r="Q154">
        <v>23167000</v>
      </c>
      <c r="R154">
        <v>0.1</v>
      </c>
      <c r="S154">
        <v>2.4716781668309502E-2</v>
      </c>
      <c r="T154">
        <v>2.0123356046403099E-2</v>
      </c>
      <c r="U154">
        <v>110.110999298095</v>
      </c>
      <c r="V154">
        <v>254.69999694824199</v>
      </c>
      <c r="W154">
        <v>258.829986572265</v>
      </c>
      <c r="X154">
        <v>253.22000122070301</v>
      </c>
      <c r="Y154">
        <v>258.08999633789</v>
      </c>
      <c r="Z154">
        <v>254.6318359375</v>
      </c>
      <c r="AA154">
        <v>24126700</v>
      </c>
      <c r="AB154">
        <v>0.1</v>
      </c>
      <c r="AC154">
        <v>1.91115353914732E-2</v>
      </c>
      <c r="AD154">
        <v>1.5079870351956201E-2</v>
      </c>
      <c r="AE154">
        <v>264.02000122070302</v>
      </c>
      <c r="AF154">
        <v>162.91000366210901</v>
      </c>
      <c r="AG154">
        <v>164.419998168945</v>
      </c>
      <c r="AH154">
        <v>162.16000366210901</v>
      </c>
      <c r="AI154">
        <v>164.07000732421801</v>
      </c>
      <c r="AJ154">
        <v>157.02445983886699</v>
      </c>
      <c r="AK154">
        <v>4590600</v>
      </c>
      <c r="AL154">
        <v>0.1</v>
      </c>
      <c r="AM154">
        <v>5.4541897805195898E-3</v>
      </c>
      <c r="AN154">
        <v>1.1330118665974E-2</v>
      </c>
      <c r="AO154">
        <v>163.908000183105</v>
      </c>
      <c r="AP154">
        <v>61.319999694824197</v>
      </c>
      <c r="AQ154">
        <v>62.490001678466797</v>
      </c>
      <c r="AR154">
        <v>61.319999694824197</v>
      </c>
      <c r="AS154">
        <v>62.310001373291001</v>
      </c>
      <c r="AT154">
        <v>59.072280883788999</v>
      </c>
      <c r="AU154">
        <v>13290700</v>
      </c>
      <c r="AV154">
        <v>0.1</v>
      </c>
      <c r="AW154">
        <v>1.8470105630575301E-2</v>
      </c>
      <c r="AX154">
        <v>1.02590129024436E-2</v>
      </c>
      <c r="AY154">
        <v>62.537000274658197</v>
      </c>
      <c r="AZ154">
        <v>2.9679999351501398</v>
      </c>
      <c r="BA154">
        <v>2.9679999351501398</v>
      </c>
      <c r="BB154">
        <v>2.9079999923706001</v>
      </c>
      <c r="BC154">
        <v>2.93300008773803</v>
      </c>
      <c r="BD154">
        <v>2.93300008773803</v>
      </c>
      <c r="BE154">
        <v>0</v>
      </c>
      <c r="BF154">
        <v>0.5</v>
      </c>
      <c r="BG154">
        <v>3.0931479171476501E-2</v>
      </c>
      <c r="BH154">
        <v>1.53144565957745E-2</v>
      </c>
      <c r="BI154">
        <v>2.8190000057220401</v>
      </c>
      <c r="BJ154">
        <f t="shared" si="2"/>
        <v>2.3166392631095989E-2</v>
      </c>
    </row>
    <row r="155" spans="1:62">
      <c r="A155" s="2">
        <v>44812</v>
      </c>
      <c r="B155">
        <v>154.63999938964801</v>
      </c>
      <c r="C155">
        <v>156.36000061035099</v>
      </c>
      <c r="D155">
        <v>152.67999267578099</v>
      </c>
      <c r="E155">
        <v>154.46000671386699</v>
      </c>
      <c r="F155">
        <v>153.15164184570301</v>
      </c>
      <c r="G155">
        <v>84923800</v>
      </c>
      <c r="H155">
        <v>0.1</v>
      </c>
      <c r="I155">
        <v>-9.6178503169211896E-3</v>
      </c>
      <c r="J155">
        <v>1.3765555041672499E-2</v>
      </c>
      <c r="K155">
        <v>158.98800201416</v>
      </c>
      <c r="L155">
        <v>108.040000915527</v>
      </c>
      <c r="M155">
        <v>109.59999847412099</v>
      </c>
      <c r="N155">
        <v>107.16000366210901</v>
      </c>
      <c r="O155">
        <v>108.379997253417</v>
      </c>
      <c r="P155">
        <v>108.379997253417</v>
      </c>
      <c r="Q155">
        <v>24238300</v>
      </c>
      <c r="R155">
        <v>0.1</v>
      </c>
      <c r="S155">
        <v>-9.7761509790650295E-3</v>
      </c>
      <c r="T155">
        <v>1.8941174212552501E-2</v>
      </c>
      <c r="U155">
        <v>109.57999877929601</v>
      </c>
      <c r="V155">
        <v>257.510009765625</v>
      </c>
      <c r="W155">
        <v>260.42999267578102</v>
      </c>
      <c r="X155">
        <v>254.78999328613199</v>
      </c>
      <c r="Y155">
        <v>258.51998901367102</v>
      </c>
      <c r="Z155">
        <v>255.05609130859301</v>
      </c>
      <c r="AA155">
        <v>20319900</v>
      </c>
      <c r="AB155">
        <v>0.1</v>
      </c>
      <c r="AC155">
        <v>1.6660571191542399E-3</v>
      </c>
      <c r="AD155">
        <v>1.3591259416803199E-2</v>
      </c>
      <c r="AE155">
        <v>262.29299926757801</v>
      </c>
      <c r="AF155">
        <v>163.88000488281199</v>
      </c>
      <c r="AG155">
        <v>165.419998168945</v>
      </c>
      <c r="AH155">
        <v>163.08000183105401</v>
      </c>
      <c r="AI155">
        <v>165.38999938964801</v>
      </c>
      <c r="AJ155">
        <v>158.28776550292901</v>
      </c>
      <c r="AK155">
        <v>5838400</v>
      </c>
      <c r="AL155">
        <v>0.1</v>
      </c>
      <c r="AM155">
        <v>8.0452977784126693E-3</v>
      </c>
      <c r="AN155">
        <v>1.14992086579242E-2</v>
      </c>
      <c r="AO155">
        <v>163.88899993896399</v>
      </c>
      <c r="AP155">
        <v>62.080001831054602</v>
      </c>
      <c r="AQ155">
        <v>62.299999237060497</v>
      </c>
      <c r="AR155">
        <v>61.340000152587798</v>
      </c>
      <c r="AS155">
        <v>62.119998931884702</v>
      </c>
      <c r="AT155">
        <v>58.892147064208899</v>
      </c>
      <c r="AU155">
        <v>17193500</v>
      </c>
      <c r="AV155">
        <v>0.1</v>
      </c>
      <c r="AW155">
        <v>-3.0493088945380202E-3</v>
      </c>
      <c r="AX155">
        <v>9.9920312727401206E-3</v>
      </c>
      <c r="AY155">
        <v>62.313000106811501</v>
      </c>
      <c r="AZ155">
        <v>2.9479999542236301</v>
      </c>
      <c r="BA155">
        <v>2.9649999141693102</v>
      </c>
      <c r="BB155">
        <v>2.93300008773803</v>
      </c>
      <c r="BC155">
        <v>2.95000004768371</v>
      </c>
      <c r="BD155">
        <v>2.95000004768371</v>
      </c>
      <c r="BE155">
        <v>0</v>
      </c>
      <c r="BF155">
        <v>0.5</v>
      </c>
      <c r="BG155">
        <v>5.7960993648620198E-3</v>
      </c>
      <c r="BH155">
        <v>1.4552543649035901E-2</v>
      </c>
      <c r="BI155">
        <v>2.8427000045776301</v>
      </c>
      <c r="BJ155">
        <f t="shared" si="2"/>
        <v>1.6248541531352768E-3</v>
      </c>
    </row>
    <row r="156" spans="1:62">
      <c r="A156" s="2">
        <v>44813</v>
      </c>
      <c r="B156">
        <v>155.47000122070301</v>
      </c>
      <c r="C156">
        <v>157.82000732421801</v>
      </c>
      <c r="D156">
        <v>154.75</v>
      </c>
      <c r="E156">
        <v>157.36999511718699</v>
      </c>
      <c r="F156">
        <v>156.03695678710901</v>
      </c>
      <c r="G156">
        <v>68028800</v>
      </c>
      <c r="H156">
        <v>0.1</v>
      </c>
      <c r="I156">
        <v>1.8839753184207698E-2</v>
      </c>
      <c r="J156">
        <v>1.4719290065441501E-2</v>
      </c>
      <c r="K156">
        <v>157.72200164794901</v>
      </c>
      <c r="L156">
        <v>109.06999969482401</v>
      </c>
      <c r="M156">
        <v>110.98999786376901</v>
      </c>
      <c r="N156">
        <v>109.01999664306599</v>
      </c>
      <c r="O156">
        <v>110.650001525878</v>
      </c>
      <c r="P156">
        <v>110.650001525878</v>
      </c>
      <c r="Q156">
        <v>23197700</v>
      </c>
      <c r="R156">
        <v>0.1</v>
      </c>
      <c r="S156">
        <v>2.09448637201303E-2</v>
      </c>
      <c r="T156">
        <v>1.9779266160886599E-2</v>
      </c>
      <c r="U156">
        <v>108.979998779296</v>
      </c>
      <c r="V156">
        <v>260.5</v>
      </c>
      <c r="W156">
        <v>265.23001098632801</v>
      </c>
      <c r="X156">
        <v>260.29000854492102</v>
      </c>
      <c r="Y156">
        <v>264.45999145507801</v>
      </c>
      <c r="Z156">
        <v>260.91647338867102</v>
      </c>
      <c r="AA156">
        <v>22084700</v>
      </c>
      <c r="AB156">
        <v>0.1</v>
      </c>
      <c r="AC156">
        <v>2.29769561110886E-2</v>
      </c>
      <c r="AD156">
        <v>1.49924057786504E-2</v>
      </c>
      <c r="AE156">
        <v>260.853997802734</v>
      </c>
      <c r="AF156">
        <v>164.99000549316401</v>
      </c>
      <c r="AG156">
        <v>166.19999694824199</v>
      </c>
      <c r="AH156">
        <v>164.38999938964801</v>
      </c>
      <c r="AI156">
        <v>165.71000671386699</v>
      </c>
      <c r="AJ156">
        <v>158.59402465820301</v>
      </c>
      <c r="AK156">
        <v>5500600</v>
      </c>
      <c r="AL156">
        <v>0.1</v>
      </c>
      <c r="AM156">
        <v>1.9348650184394199E-3</v>
      </c>
      <c r="AN156">
        <v>1.0590362706582901E-2</v>
      </c>
      <c r="AO156">
        <v>163.74700012207001</v>
      </c>
      <c r="AP156">
        <v>62.169998168945298</v>
      </c>
      <c r="AQ156">
        <v>62.880001068115199</v>
      </c>
      <c r="AR156">
        <v>61.860000610351499</v>
      </c>
      <c r="AS156">
        <v>62.319999694824197</v>
      </c>
      <c r="AT156">
        <v>59.081756591796797</v>
      </c>
      <c r="AU156">
        <v>11855900</v>
      </c>
      <c r="AV156">
        <v>0.1</v>
      </c>
      <c r="AW156">
        <v>3.21958735316063E-3</v>
      </c>
      <c r="AX156">
        <v>9.9473122070048402E-3</v>
      </c>
      <c r="AY156">
        <v>62.078000259399403</v>
      </c>
      <c r="AZ156">
        <v>2.9549999237060498</v>
      </c>
      <c r="BA156">
        <v>2.97300004959106</v>
      </c>
      <c r="BB156">
        <v>2.9349999427795401</v>
      </c>
      <c r="BC156">
        <v>2.9679999351501398</v>
      </c>
      <c r="BD156">
        <v>2.9679999351501398</v>
      </c>
      <c r="BE156">
        <v>0</v>
      </c>
      <c r="BF156">
        <v>0.5</v>
      </c>
      <c r="BG156">
        <v>6.1016566696545597E-3</v>
      </c>
      <c r="BH156">
        <v>1.32776961549838E-2</v>
      </c>
      <c r="BI156">
        <v>2.8664999961853002</v>
      </c>
      <c r="BJ156">
        <f t="shared" si="2"/>
        <v>9.8424308735299438E-3</v>
      </c>
    </row>
    <row r="157" spans="1:62">
      <c r="A157" s="2">
        <v>44816</v>
      </c>
      <c r="B157">
        <v>159.58999633789</v>
      </c>
      <c r="C157">
        <v>164.259994506835</v>
      </c>
      <c r="D157">
        <v>159.30000305175699</v>
      </c>
      <c r="E157">
        <v>163.42999267578099</v>
      </c>
      <c r="F157">
        <v>162.045654296875</v>
      </c>
      <c r="G157">
        <v>104956000</v>
      </c>
      <c r="H157">
        <v>0.1</v>
      </c>
      <c r="I157">
        <v>3.8507960517385198E-2</v>
      </c>
      <c r="J157">
        <v>1.66046981329591E-2</v>
      </c>
      <c r="K157">
        <v>157.703001403808</v>
      </c>
      <c r="L157">
        <v>110.98999786376901</v>
      </c>
      <c r="M157">
        <v>111.620002746582</v>
      </c>
      <c r="N157">
        <v>109.930000305175</v>
      </c>
      <c r="O157">
        <v>110.86000061035099</v>
      </c>
      <c r="P157">
        <v>110.86000061035099</v>
      </c>
      <c r="Q157">
        <v>22966800</v>
      </c>
      <c r="R157">
        <v>0.1</v>
      </c>
      <c r="S157">
        <v>1.89786788591717E-3</v>
      </c>
      <c r="T157">
        <v>1.8768558607221798E-2</v>
      </c>
      <c r="U157">
        <v>109.031999206542</v>
      </c>
      <c r="V157">
        <v>265.77999877929602</v>
      </c>
      <c r="W157">
        <v>267.45001220703102</v>
      </c>
      <c r="X157">
        <v>265.16000366210898</v>
      </c>
      <c r="Y157">
        <v>266.64999389648398</v>
      </c>
      <c r="Z157">
        <v>263.0771484375</v>
      </c>
      <c r="AA157">
        <v>18747700</v>
      </c>
      <c r="AB157">
        <v>0.1</v>
      </c>
      <c r="AC157">
        <v>8.2810349851283292E-3</v>
      </c>
      <c r="AD157">
        <v>1.4465017523555499E-2</v>
      </c>
      <c r="AE157">
        <v>260.70999755859299</v>
      </c>
      <c r="AF157">
        <v>166.11000061035099</v>
      </c>
      <c r="AG157">
        <v>166.57000732421801</v>
      </c>
      <c r="AH157">
        <v>165.22000122070301</v>
      </c>
      <c r="AI157">
        <v>165.63999938964801</v>
      </c>
      <c r="AJ157">
        <v>158.52703857421801</v>
      </c>
      <c r="AK157">
        <v>6365300</v>
      </c>
      <c r="AL157">
        <v>0.1</v>
      </c>
      <c r="AM157">
        <v>-4.2246889977881602E-4</v>
      </c>
      <c r="AN157">
        <v>1.0291316299647101E-2</v>
      </c>
      <c r="AO157">
        <v>163.88399963378899</v>
      </c>
      <c r="AP157">
        <v>62.430000305175703</v>
      </c>
      <c r="AQ157">
        <v>62.810001373291001</v>
      </c>
      <c r="AR157">
        <v>62.270000457763601</v>
      </c>
      <c r="AS157">
        <v>62.5</v>
      </c>
      <c r="AT157">
        <v>59.252403259277301</v>
      </c>
      <c r="AU157">
        <v>13026900</v>
      </c>
      <c r="AV157">
        <v>0.1</v>
      </c>
      <c r="AW157">
        <v>2.88832326792731E-3</v>
      </c>
      <c r="AX157">
        <v>9.7961378580333994E-3</v>
      </c>
      <c r="AY157">
        <v>62.017000198364201</v>
      </c>
      <c r="AZ157">
        <v>2.9430000782012899</v>
      </c>
      <c r="BA157">
        <v>3</v>
      </c>
      <c r="BB157">
        <v>2.9430000782012899</v>
      </c>
      <c r="BC157">
        <v>2.9949998855590798</v>
      </c>
      <c r="BD157">
        <v>2.9949998855590798</v>
      </c>
      <c r="BE157">
        <v>0</v>
      </c>
      <c r="BF157">
        <v>0.5</v>
      </c>
      <c r="BG157">
        <v>9.0970185306185006E-3</v>
      </c>
      <c r="BH157">
        <v>1.3227810551100999E-2</v>
      </c>
      <c r="BI157">
        <v>2.8904999732971102</v>
      </c>
      <c r="BJ157">
        <f t="shared" si="2"/>
        <v>9.6637810409671704E-3</v>
      </c>
    </row>
    <row r="158" spans="1:62">
      <c r="A158" s="2">
        <v>44817</v>
      </c>
      <c r="B158">
        <v>159.89999389648401</v>
      </c>
      <c r="C158">
        <v>160.53999328613199</v>
      </c>
      <c r="D158">
        <v>153.36999511718699</v>
      </c>
      <c r="E158">
        <v>153.83999633789</v>
      </c>
      <c r="F158">
        <v>152.53688049316401</v>
      </c>
      <c r="G158">
        <v>122656600</v>
      </c>
      <c r="H158">
        <v>0.1</v>
      </c>
      <c r="I158">
        <v>-5.86795372188239E-2</v>
      </c>
      <c r="J158">
        <v>2.06624976267413E-2</v>
      </c>
      <c r="K158">
        <v>156.949000549316</v>
      </c>
      <c r="L158">
        <v>107.800003051757</v>
      </c>
      <c r="M158">
        <v>108.300003051757</v>
      </c>
      <c r="N158">
        <v>104.08999633789</v>
      </c>
      <c r="O158">
        <v>104.31999969482401</v>
      </c>
      <c r="P158">
        <v>104.31999969482401</v>
      </c>
      <c r="Q158">
        <v>38172900</v>
      </c>
      <c r="R158">
        <v>0.1</v>
      </c>
      <c r="S158">
        <v>-5.8993332847922297E-2</v>
      </c>
      <c r="T158">
        <v>2.22554748752627E-2</v>
      </c>
      <c r="U158">
        <v>108.52199935913001</v>
      </c>
      <c r="V158">
        <v>258.83999633789</v>
      </c>
      <c r="W158">
        <v>260.39999389648398</v>
      </c>
      <c r="X158">
        <v>251.58999633789</v>
      </c>
      <c r="Y158">
        <v>251.99000549316401</v>
      </c>
      <c r="Z158">
        <v>248.61360168457</v>
      </c>
      <c r="AA158">
        <v>33353300</v>
      </c>
      <c r="AB158">
        <v>0.1</v>
      </c>
      <c r="AC158">
        <v>-5.4978393920426798E-2</v>
      </c>
      <c r="AD158">
        <v>1.81441148305778E-2</v>
      </c>
      <c r="AE158">
        <v>259.38599700927699</v>
      </c>
      <c r="AF158">
        <v>163.57000732421801</v>
      </c>
      <c r="AG158">
        <v>164.44000244140599</v>
      </c>
      <c r="AH158">
        <v>160.80999755859301</v>
      </c>
      <c r="AI158">
        <v>161.33000183105401</v>
      </c>
      <c r="AJ158">
        <v>154.40213012695301</v>
      </c>
      <c r="AK158">
        <v>6726400</v>
      </c>
      <c r="AL158">
        <v>0.1</v>
      </c>
      <c r="AM158">
        <v>-2.6020270311973199E-2</v>
      </c>
      <c r="AN158">
        <v>1.17619264672995E-2</v>
      </c>
      <c r="AO158">
        <v>163.716999816894</v>
      </c>
      <c r="AP158">
        <v>62.200000762939403</v>
      </c>
      <c r="AQ158">
        <v>62.220001220703097</v>
      </c>
      <c r="AR158">
        <v>60.279998779296797</v>
      </c>
      <c r="AS158">
        <v>60.470001220703097</v>
      </c>
      <c r="AT158">
        <v>57.327888488769503</v>
      </c>
      <c r="AU158">
        <v>18532800</v>
      </c>
      <c r="AV158">
        <v>0.1</v>
      </c>
      <c r="AW158">
        <v>-3.2479980468750003E-2</v>
      </c>
      <c r="AX158">
        <v>1.1556789080684301E-2</v>
      </c>
      <c r="AY158">
        <v>61.791000366210902</v>
      </c>
      <c r="AZ158">
        <v>3.0729999542236301</v>
      </c>
      <c r="BA158">
        <v>3.2130000591278001</v>
      </c>
      <c r="BB158">
        <v>3.0250000953674299</v>
      </c>
      <c r="BC158">
        <v>3.1530001163482599</v>
      </c>
      <c r="BD158">
        <v>3.1530001163482599</v>
      </c>
      <c r="BE158">
        <v>0</v>
      </c>
      <c r="BF158">
        <v>0.5</v>
      </c>
      <c r="BG158">
        <v>5.2754670058924001E-2</v>
      </c>
      <c r="BH158">
        <v>1.6378203880872199E-2</v>
      </c>
      <c r="BI158">
        <v>2.9259999752044599</v>
      </c>
      <c r="BJ158">
        <f t="shared" si="2"/>
        <v>3.2621835526723776E-3</v>
      </c>
    </row>
    <row r="159" spans="1:62">
      <c r="A159" s="2">
        <v>44818</v>
      </c>
      <c r="B159">
        <v>154.78999328613199</v>
      </c>
      <c r="C159">
        <v>157.100006103515</v>
      </c>
      <c r="D159">
        <v>153.61000061035099</v>
      </c>
      <c r="E159">
        <v>155.30999755859301</v>
      </c>
      <c r="F159">
        <v>153.99441528320301</v>
      </c>
      <c r="G159">
        <v>87965400</v>
      </c>
      <c r="H159">
        <v>0.1</v>
      </c>
      <c r="I159">
        <v>9.5553903776390801E-3</v>
      </c>
      <c r="J159">
        <v>2.0921259167871999E-2</v>
      </c>
      <c r="K159">
        <v>156.58899993896401</v>
      </c>
      <c r="L159">
        <v>104.56999969482401</v>
      </c>
      <c r="M159">
        <v>105.27999877929599</v>
      </c>
      <c r="N159">
        <v>103.66000366210901</v>
      </c>
      <c r="O159">
        <v>105</v>
      </c>
      <c r="P159">
        <v>105</v>
      </c>
      <c r="Q159">
        <v>26395100</v>
      </c>
      <c r="R159">
        <v>0.1</v>
      </c>
      <c r="S159">
        <v>6.5184078524256296E-3</v>
      </c>
      <c r="T159">
        <v>2.2460708678323098E-2</v>
      </c>
      <c r="U159">
        <v>108.12799911499</v>
      </c>
      <c r="V159">
        <v>253.52999877929599</v>
      </c>
      <c r="W159">
        <v>254.22999572753901</v>
      </c>
      <c r="X159">
        <v>249.86000061035099</v>
      </c>
      <c r="Y159">
        <v>252.22000122070301</v>
      </c>
      <c r="Z159">
        <v>248.84048461914</v>
      </c>
      <c r="AA159">
        <v>23913000</v>
      </c>
      <c r="AB159">
        <v>0.1</v>
      </c>
      <c r="AC159">
        <v>9.1271765754741198E-4</v>
      </c>
      <c r="AD159">
        <v>1.8210085063620499E-2</v>
      </c>
      <c r="AE159">
        <v>258.310997009277</v>
      </c>
      <c r="AF159">
        <v>162.38000488281199</v>
      </c>
      <c r="AG159">
        <v>165.36000061035099</v>
      </c>
      <c r="AH159">
        <v>162.38000488281199</v>
      </c>
      <c r="AI159">
        <v>164.66000366210901</v>
      </c>
      <c r="AJ159">
        <v>157.589111328125</v>
      </c>
      <c r="AK159">
        <v>9555700</v>
      </c>
      <c r="AL159">
        <v>0.1</v>
      </c>
      <c r="AM159">
        <v>2.0640933448583702E-2</v>
      </c>
      <c r="AN159">
        <v>1.2567335256436199E-2</v>
      </c>
      <c r="AO159">
        <v>163.94000091552701</v>
      </c>
      <c r="AP159">
        <v>60.639999389648402</v>
      </c>
      <c r="AQ159">
        <v>61.080001831054602</v>
      </c>
      <c r="AR159">
        <v>60.439998626708899</v>
      </c>
      <c r="AS159">
        <v>60.790000915527301</v>
      </c>
      <c r="AT159">
        <v>57.631259918212798</v>
      </c>
      <c r="AU159">
        <v>12881600</v>
      </c>
      <c r="AV159">
        <v>0.1</v>
      </c>
      <c r="AW159">
        <v>5.2918751176518298E-3</v>
      </c>
      <c r="AX159">
        <v>1.1423008128383301E-2</v>
      </c>
      <c r="AY159">
        <v>61.655000305175697</v>
      </c>
      <c r="AZ159">
        <v>3.1679999828338601</v>
      </c>
      <c r="BA159">
        <v>3.1879999637603702</v>
      </c>
      <c r="BB159">
        <v>3</v>
      </c>
      <c r="BC159">
        <v>3.1280000209808301</v>
      </c>
      <c r="BD159">
        <v>3.1280000209808301</v>
      </c>
      <c r="BE159">
        <v>0</v>
      </c>
      <c r="BF159">
        <v>0.5</v>
      </c>
      <c r="BG159">
        <v>-7.9289865033008704E-3</v>
      </c>
      <c r="BH159">
        <v>1.6045032368884798E-2</v>
      </c>
      <c r="BI159">
        <v>2.9514999866485501</v>
      </c>
      <c r="BJ159">
        <f t="shared" si="2"/>
        <v>3.2743919373433034E-4</v>
      </c>
    </row>
    <row r="160" spans="1:62">
      <c r="A160" s="2">
        <v>44819</v>
      </c>
      <c r="B160">
        <v>154.64999389648401</v>
      </c>
      <c r="C160">
        <v>155.24000549316401</v>
      </c>
      <c r="D160">
        <v>151.38000488281199</v>
      </c>
      <c r="E160">
        <v>152.36999511718699</v>
      </c>
      <c r="F160">
        <v>151.07936096191401</v>
      </c>
      <c r="G160">
        <v>90481100</v>
      </c>
      <c r="H160">
        <v>0.1</v>
      </c>
      <c r="I160">
        <v>-1.8929898188280302E-2</v>
      </c>
      <c r="J160">
        <v>2.0865599984611301E-2</v>
      </c>
      <c r="K160">
        <v>156.10399932861301</v>
      </c>
      <c r="L160">
        <v>104.02999877929599</v>
      </c>
      <c r="M160">
        <v>105.26999664306599</v>
      </c>
      <c r="N160">
        <v>102.34999847412099</v>
      </c>
      <c r="O160">
        <v>102.91000366210901</v>
      </c>
      <c r="P160">
        <v>102.91000366210901</v>
      </c>
      <c r="Q160">
        <v>34188300</v>
      </c>
      <c r="R160">
        <v>0.1</v>
      </c>
      <c r="S160">
        <v>-1.9904727027529701E-2</v>
      </c>
      <c r="T160">
        <v>2.2521579448093101E-2</v>
      </c>
      <c r="U160">
        <v>107.59699935913</v>
      </c>
      <c r="V160">
        <v>249.77000427246</v>
      </c>
      <c r="W160">
        <v>251.39999389648401</v>
      </c>
      <c r="X160">
        <v>244.02000427246</v>
      </c>
      <c r="Y160">
        <v>245.38000488281199</v>
      </c>
      <c r="Z160">
        <v>242.09214782714801</v>
      </c>
      <c r="AA160">
        <v>31530900</v>
      </c>
      <c r="AB160">
        <v>0.1</v>
      </c>
      <c r="AC160">
        <v>-2.7119167016042198E-2</v>
      </c>
      <c r="AD160">
        <v>1.8727648410253799E-2</v>
      </c>
      <c r="AE160">
        <v>256.70199737548802</v>
      </c>
      <c r="AF160">
        <v>164.44999694824199</v>
      </c>
      <c r="AG160">
        <v>166.07000732421801</v>
      </c>
      <c r="AH160">
        <v>164.100006103515</v>
      </c>
      <c r="AI160">
        <v>165.08000183105401</v>
      </c>
      <c r="AJ160">
        <v>157.99108886718699</v>
      </c>
      <c r="AK160">
        <v>7174500</v>
      </c>
      <c r="AL160">
        <v>0.1</v>
      </c>
      <c r="AM160">
        <v>2.5506993781390002E-3</v>
      </c>
      <c r="AN160">
        <v>1.25886355129332E-2</v>
      </c>
      <c r="AO160">
        <v>164.31400146484299</v>
      </c>
      <c r="AP160">
        <v>60.400001525878899</v>
      </c>
      <c r="AQ160">
        <v>60.400001525878899</v>
      </c>
      <c r="AR160">
        <v>59.360000610351499</v>
      </c>
      <c r="AS160">
        <v>59.529998779296797</v>
      </c>
      <c r="AT160">
        <v>56.848201751708899</v>
      </c>
      <c r="AU160">
        <v>11451900</v>
      </c>
      <c r="AV160">
        <v>0.1</v>
      </c>
      <c r="AW160">
        <v>-2.0727128100908199E-2</v>
      </c>
      <c r="AX160">
        <v>1.2063129311064799E-2</v>
      </c>
      <c r="AY160">
        <v>61.437000274658203</v>
      </c>
      <c r="AZ160">
        <v>3.13800001144409</v>
      </c>
      <c r="BA160">
        <v>3.1429998874664302</v>
      </c>
      <c r="BB160">
        <v>3.07500004768371</v>
      </c>
      <c r="BC160">
        <v>3.0950000286102202</v>
      </c>
      <c r="BD160">
        <v>3.0950000286102202</v>
      </c>
      <c r="BE160">
        <v>0</v>
      </c>
      <c r="BF160">
        <v>0.5</v>
      </c>
      <c r="BG160">
        <v>-1.0549869612934901E-2</v>
      </c>
      <c r="BH160">
        <v>1.59777534363113E-2</v>
      </c>
      <c r="BI160">
        <v>2.9750000000000001</v>
      </c>
      <c r="BJ160">
        <f t="shared" si="2"/>
        <v>-1.3687956901929591E-2</v>
      </c>
    </row>
    <row r="161" spans="1:62">
      <c r="A161" s="2">
        <v>44820</v>
      </c>
      <c r="B161">
        <v>151.21000671386699</v>
      </c>
      <c r="C161">
        <v>151.350006103515</v>
      </c>
      <c r="D161">
        <v>148.36999511718699</v>
      </c>
      <c r="E161">
        <v>150.69999694824199</v>
      </c>
      <c r="F161">
        <v>149.42346191406199</v>
      </c>
      <c r="G161">
        <v>162278800</v>
      </c>
      <c r="H161">
        <v>0.1</v>
      </c>
      <c r="I161">
        <v>-1.09601510957647E-2</v>
      </c>
      <c r="J161">
        <v>2.0862242233444701E-2</v>
      </c>
      <c r="K161">
        <v>155.37799835205001</v>
      </c>
      <c r="L161">
        <v>102.06999969482401</v>
      </c>
      <c r="M161">
        <v>103.129997253417</v>
      </c>
      <c r="N161">
        <v>100.94000244140599</v>
      </c>
      <c r="O161">
        <v>102.800003051757</v>
      </c>
      <c r="P161">
        <v>102.800003051757</v>
      </c>
      <c r="Q161">
        <v>42797200</v>
      </c>
      <c r="R161">
        <v>0.1</v>
      </c>
      <c r="S161">
        <v>-1.0689010439911501E-3</v>
      </c>
      <c r="T161">
        <v>2.23832301188726E-2</v>
      </c>
      <c r="U161">
        <v>106.90299987792901</v>
      </c>
      <c r="V161">
        <v>244.259994506835</v>
      </c>
      <c r="W161">
        <v>245.30000305175699</v>
      </c>
      <c r="X161">
        <v>242.05999755859301</v>
      </c>
      <c r="Y161">
        <v>244.74000549316401</v>
      </c>
      <c r="Z161">
        <v>241.46075439453099</v>
      </c>
      <c r="AA161">
        <v>39791800</v>
      </c>
      <c r="AB161">
        <v>0.1</v>
      </c>
      <c r="AC161">
        <v>-2.6081969879904101E-3</v>
      </c>
      <c r="AD161">
        <v>1.8746696765086099E-2</v>
      </c>
      <c r="AE161">
        <v>255.13599853515601</v>
      </c>
      <c r="AF161">
        <v>165.32000732421801</v>
      </c>
      <c r="AG161">
        <v>167.63000488281199</v>
      </c>
      <c r="AH161">
        <v>164.75</v>
      </c>
      <c r="AI161">
        <v>167.600006103515</v>
      </c>
      <c r="AJ161">
        <v>160.40286254882801</v>
      </c>
      <c r="AK161">
        <v>20201500</v>
      </c>
      <c r="AL161">
        <v>0.1</v>
      </c>
      <c r="AM161">
        <v>1.52653516144247E-2</v>
      </c>
      <c r="AN161">
        <v>1.30336514447996E-2</v>
      </c>
      <c r="AO161">
        <v>164.54000244140599</v>
      </c>
      <c r="AP161">
        <v>59.659999847412102</v>
      </c>
      <c r="AQ161">
        <v>59.799999237060497</v>
      </c>
      <c r="AR161">
        <v>59.110000610351499</v>
      </c>
      <c r="AS161">
        <v>59.540000915527301</v>
      </c>
      <c r="AT161">
        <v>56.857749938964801</v>
      </c>
      <c r="AU161">
        <v>20493500</v>
      </c>
      <c r="AV161">
        <v>0.1</v>
      </c>
      <c r="AW161">
        <v>1.6801841820202E-4</v>
      </c>
      <c r="AX161">
        <v>1.1905969128737299E-2</v>
      </c>
      <c r="AY161">
        <v>61.191000366210901</v>
      </c>
      <c r="AZ161">
        <v>3.0950000286102202</v>
      </c>
      <c r="BA161">
        <v>3.0950000286102202</v>
      </c>
      <c r="BB161">
        <v>3.0499999523162802</v>
      </c>
      <c r="BC161">
        <v>3.0699999332427899</v>
      </c>
      <c r="BD161">
        <v>3.0699999332427899</v>
      </c>
      <c r="BE161">
        <v>0</v>
      </c>
      <c r="BF161">
        <v>0.5</v>
      </c>
      <c r="BG161">
        <v>-8.0775751652117905E-3</v>
      </c>
      <c r="BH161">
        <v>1.6292067381953601E-2</v>
      </c>
      <c r="BI161">
        <v>2.9957000017166102</v>
      </c>
      <c r="BJ161">
        <f t="shared" si="2"/>
        <v>-3.9591754921178487E-3</v>
      </c>
    </row>
    <row r="162" spans="1:62">
      <c r="A162" s="2">
        <v>44823</v>
      </c>
      <c r="B162">
        <v>149.30999755859301</v>
      </c>
      <c r="C162">
        <v>154.55999755859301</v>
      </c>
      <c r="D162">
        <v>149.100006103515</v>
      </c>
      <c r="E162">
        <v>154.47999572753901</v>
      </c>
      <c r="F162">
        <v>153.17144775390599</v>
      </c>
      <c r="G162">
        <v>81474200</v>
      </c>
      <c r="H162">
        <v>0.1</v>
      </c>
      <c r="I162">
        <v>2.5082938658552899E-2</v>
      </c>
      <c r="J162">
        <v>2.19473722341588E-2</v>
      </c>
      <c r="K162">
        <v>155.24499816894499</v>
      </c>
      <c r="L162">
        <v>101.75</v>
      </c>
      <c r="M162">
        <v>103.33000183105401</v>
      </c>
      <c r="N162">
        <v>101.550003051757</v>
      </c>
      <c r="O162">
        <v>103.06999969482401</v>
      </c>
      <c r="P162">
        <v>103.06999969482401</v>
      </c>
      <c r="Q162">
        <v>23036800</v>
      </c>
      <c r="R162">
        <v>0.1</v>
      </c>
      <c r="S162">
        <v>2.6264264110038502E-3</v>
      </c>
      <c r="T162">
        <v>2.2115588557946E-2</v>
      </c>
      <c r="U162">
        <v>106.425</v>
      </c>
      <c r="V162">
        <v>242.47000122070301</v>
      </c>
      <c r="W162">
        <v>245.13999938964801</v>
      </c>
      <c r="X162">
        <v>240.850006103515</v>
      </c>
      <c r="Y162">
        <v>244.52000427246</v>
      </c>
      <c r="Z162">
        <v>241.24366760253901</v>
      </c>
      <c r="AA162">
        <v>26826900</v>
      </c>
      <c r="AB162">
        <v>0.1</v>
      </c>
      <c r="AC162">
        <v>-8.9891809988240602E-4</v>
      </c>
      <c r="AD162">
        <v>1.8768770788761501E-2</v>
      </c>
      <c r="AE162">
        <v>253.98199920654201</v>
      </c>
      <c r="AF162">
        <v>166.30000305175699</v>
      </c>
      <c r="AG162">
        <v>166.42999267578099</v>
      </c>
      <c r="AH162">
        <v>164.08000183105401</v>
      </c>
      <c r="AI162">
        <v>166.27999877929599</v>
      </c>
      <c r="AJ162">
        <v>159.139556884765</v>
      </c>
      <c r="AK162">
        <v>7380900</v>
      </c>
      <c r="AL162">
        <v>0.1</v>
      </c>
      <c r="AM162">
        <v>-7.8759384018367504E-3</v>
      </c>
      <c r="AN162">
        <v>1.2662028885605799E-2</v>
      </c>
      <c r="AO162">
        <v>164.894001770019</v>
      </c>
      <c r="AP162">
        <v>59.389999389648402</v>
      </c>
      <c r="AQ162">
        <v>60.099998474121001</v>
      </c>
      <c r="AR162">
        <v>59.2299995422363</v>
      </c>
      <c r="AS162">
        <v>59.990001678466797</v>
      </c>
      <c r="AT162">
        <v>57.2874755859375</v>
      </c>
      <c r="AU162">
        <v>12596200</v>
      </c>
      <c r="AV162">
        <v>0.1</v>
      </c>
      <c r="AW162">
        <v>7.5579569368480204E-3</v>
      </c>
      <c r="AX162">
        <v>1.2184778685189799E-2</v>
      </c>
      <c r="AY162">
        <v>61.0750003814697</v>
      </c>
      <c r="AZ162">
        <v>3.0699999332427899</v>
      </c>
      <c r="BA162">
        <v>3.0929999351501398</v>
      </c>
      <c r="BB162">
        <v>3.0179998874664302</v>
      </c>
      <c r="BC162">
        <v>3.03500008583068</v>
      </c>
      <c r="BD162">
        <v>3.03500008583068</v>
      </c>
      <c r="BE162">
        <v>0</v>
      </c>
      <c r="BF162">
        <v>0.5</v>
      </c>
      <c r="BG162">
        <v>-1.14006020108083E-2</v>
      </c>
      <c r="BH162">
        <v>1.6920487765595401E-2</v>
      </c>
      <c r="BI162">
        <v>3.0172000169754001</v>
      </c>
      <c r="BJ162">
        <f t="shared" si="2"/>
        <v>-3.0510544549355876E-3</v>
      </c>
    </row>
    <row r="163" spans="1:62">
      <c r="A163" s="2">
        <v>44824</v>
      </c>
      <c r="B163">
        <v>153.39999389648401</v>
      </c>
      <c r="C163">
        <v>158.08000183105401</v>
      </c>
      <c r="D163">
        <v>153.08000183105401</v>
      </c>
      <c r="E163">
        <v>156.89999389648401</v>
      </c>
      <c r="F163">
        <v>155.57096862792901</v>
      </c>
      <c r="G163">
        <v>107689800</v>
      </c>
      <c r="H163">
        <v>0.1</v>
      </c>
      <c r="I163">
        <v>1.5665446891994499E-2</v>
      </c>
      <c r="J163">
        <v>2.1978676850315602E-2</v>
      </c>
      <c r="K163">
        <v>155.48199768066399</v>
      </c>
      <c r="L163">
        <v>102.08000183105401</v>
      </c>
      <c r="M163">
        <v>102.370002746582</v>
      </c>
      <c r="N163">
        <v>100.51999664306599</v>
      </c>
      <c r="O163">
        <v>101.139999389648</v>
      </c>
      <c r="P163">
        <v>101.139999389648</v>
      </c>
      <c r="Q163">
        <v>26517100</v>
      </c>
      <c r="R163">
        <v>0.1</v>
      </c>
      <c r="S163">
        <v>-1.8725141271856399E-2</v>
      </c>
      <c r="T163">
        <v>2.18618629147267E-2</v>
      </c>
      <c r="U163">
        <v>105.85800018310501</v>
      </c>
      <c r="V163">
        <v>242.07000732421801</v>
      </c>
      <c r="W163">
        <v>243.509994506835</v>
      </c>
      <c r="X163">
        <v>239.63999938964801</v>
      </c>
      <c r="Y163">
        <v>242.44999694824199</v>
      </c>
      <c r="Z163">
        <v>239.201400756835</v>
      </c>
      <c r="AA163">
        <v>26660300</v>
      </c>
      <c r="AB163">
        <v>0.1</v>
      </c>
      <c r="AC163">
        <v>-8.4655949944782895E-3</v>
      </c>
      <c r="AD163">
        <v>1.80659755854445E-2</v>
      </c>
      <c r="AE163">
        <v>252.90199890136699</v>
      </c>
      <c r="AF163">
        <v>165.22000122070301</v>
      </c>
      <c r="AG163">
        <v>165.89999389648401</v>
      </c>
      <c r="AH163">
        <v>164.32000732421801</v>
      </c>
      <c r="AI163">
        <v>164.97000122070301</v>
      </c>
      <c r="AJ163">
        <v>157.885818481445</v>
      </c>
      <c r="AK163">
        <v>7143400</v>
      </c>
      <c r="AL163">
        <v>0.1</v>
      </c>
      <c r="AM163">
        <v>-7.8782629793767694E-3</v>
      </c>
      <c r="AN163">
        <v>1.2583585557746101E-2</v>
      </c>
      <c r="AO163">
        <v>165.07300262451099</v>
      </c>
      <c r="AP163">
        <v>59.680000305175703</v>
      </c>
      <c r="AQ163">
        <v>60.029998779296797</v>
      </c>
      <c r="AR163">
        <v>59.319999694824197</v>
      </c>
      <c r="AS163">
        <v>59.900001525878899</v>
      </c>
      <c r="AT163">
        <v>57.201534271240199</v>
      </c>
      <c r="AU163">
        <v>11984600</v>
      </c>
      <c r="AV163">
        <v>0.1</v>
      </c>
      <c r="AW163">
        <v>-1.5002525432533599E-3</v>
      </c>
      <c r="AX163">
        <v>1.19238290066943E-2</v>
      </c>
      <c r="AY163">
        <v>60.947000503540004</v>
      </c>
      <c r="AZ163">
        <v>3.2599999904632502</v>
      </c>
      <c r="BA163">
        <v>3.26300001144409</v>
      </c>
      <c r="BB163">
        <v>3.21000003814697</v>
      </c>
      <c r="BC163">
        <v>3.2430000305175701</v>
      </c>
      <c r="BD163">
        <v>3.2430000305175701</v>
      </c>
      <c r="BE163">
        <v>0</v>
      </c>
      <c r="BF163">
        <v>0.5</v>
      </c>
      <c r="BG163">
        <v>6.8533752489156705E-2</v>
      </c>
      <c r="BH163">
        <v>2.1341703221690201E-2</v>
      </c>
      <c r="BI163">
        <v>3.0570000171661298</v>
      </c>
      <c r="BJ163">
        <f t="shared" si="2"/>
        <v>3.2176495754881317E-2</v>
      </c>
    </row>
    <row r="164" spans="1:62">
      <c r="A164" s="2">
        <v>44825</v>
      </c>
      <c r="B164">
        <v>157.33999633789</v>
      </c>
      <c r="C164">
        <v>158.74000549316401</v>
      </c>
      <c r="D164">
        <v>153.600006103515</v>
      </c>
      <c r="E164">
        <v>153.72000122070301</v>
      </c>
      <c r="F164">
        <v>152.41790771484301</v>
      </c>
      <c r="G164">
        <v>101696800</v>
      </c>
      <c r="H164">
        <v>0.1</v>
      </c>
      <c r="I164">
        <v>-2.02676405320911E-2</v>
      </c>
      <c r="J164">
        <v>2.2309869472313101E-2</v>
      </c>
      <c r="K164">
        <v>155.257997131347</v>
      </c>
      <c r="L164">
        <v>101.669998168945</v>
      </c>
      <c r="M164">
        <v>102.879997253417</v>
      </c>
      <c r="N164">
        <v>99.269996643066406</v>
      </c>
      <c r="O164">
        <v>99.279998779296804</v>
      </c>
      <c r="P164">
        <v>99.279998779296804</v>
      </c>
      <c r="Q164">
        <v>31487300</v>
      </c>
      <c r="R164">
        <v>0.1</v>
      </c>
      <c r="S164">
        <v>-1.8390356155587699E-2</v>
      </c>
      <c r="T164">
        <v>2.2029566440436101E-2</v>
      </c>
      <c r="U164">
        <v>104.84100036621</v>
      </c>
      <c r="V164">
        <v>244.27000427246</v>
      </c>
      <c r="W164">
        <v>247.66000366210901</v>
      </c>
      <c r="X164">
        <v>238.89999389648401</v>
      </c>
      <c r="Y164">
        <v>238.94999694824199</v>
      </c>
      <c r="Z164">
        <v>235.74830627441401</v>
      </c>
      <c r="AA164">
        <v>28625600</v>
      </c>
      <c r="AB164">
        <v>0.1</v>
      </c>
      <c r="AC164">
        <v>-1.44359663603014E-2</v>
      </c>
      <c r="AD164">
        <v>1.8142770752143302E-2</v>
      </c>
      <c r="AE164">
        <v>250.987998962402</v>
      </c>
      <c r="AF164">
        <v>165.02000427246</v>
      </c>
      <c r="AG164">
        <v>166.80000305175699</v>
      </c>
      <c r="AH164">
        <v>163.24000549316401</v>
      </c>
      <c r="AI164">
        <v>163.27999877929599</v>
      </c>
      <c r="AJ164">
        <v>156.26838684082</v>
      </c>
      <c r="AK164">
        <v>8071200</v>
      </c>
      <c r="AL164">
        <v>0.1</v>
      </c>
      <c r="AM164">
        <v>-1.02443015633205E-2</v>
      </c>
      <c r="AN164">
        <v>1.26394060626917E-2</v>
      </c>
      <c r="AO164">
        <v>164.994001770019</v>
      </c>
      <c r="AP164">
        <v>60.139999389648402</v>
      </c>
      <c r="AQ164">
        <v>60.700000762939403</v>
      </c>
      <c r="AR164">
        <v>59.389999389648402</v>
      </c>
      <c r="AS164">
        <v>59.400001525878899</v>
      </c>
      <c r="AT164">
        <v>56.724056243896399</v>
      </c>
      <c r="AU164">
        <v>14165300</v>
      </c>
      <c r="AV164">
        <v>0.1</v>
      </c>
      <c r="AW164">
        <v>-8.3472451963791904E-3</v>
      </c>
      <c r="AX164">
        <v>1.1923845395313999E-2</v>
      </c>
      <c r="AY164">
        <v>60.656000518798798</v>
      </c>
      <c r="AZ164">
        <v>3.2430000305175701</v>
      </c>
      <c r="BA164">
        <v>3.2530000209808301</v>
      </c>
      <c r="BB164">
        <v>3.1900000572204501</v>
      </c>
      <c r="BC164">
        <v>3.1900000572204501</v>
      </c>
      <c r="BD164">
        <v>3.1900000572204501</v>
      </c>
      <c r="BE164">
        <v>0</v>
      </c>
      <c r="BF164">
        <v>0.5</v>
      </c>
      <c r="BG164">
        <v>-1.63428839957983E-2</v>
      </c>
      <c r="BH164">
        <v>2.1995717188830598E-2</v>
      </c>
      <c r="BI164">
        <v>3.0827000141143799</v>
      </c>
      <c r="BJ164">
        <f t="shared" si="2"/>
        <v>-1.5339992978667141E-2</v>
      </c>
    </row>
    <row r="165" spans="1:62">
      <c r="A165" s="2">
        <v>44826</v>
      </c>
      <c r="B165">
        <v>152.38000488281199</v>
      </c>
      <c r="C165">
        <v>154.47000122070301</v>
      </c>
      <c r="D165">
        <v>150.91000366210901</v>
      </c>
      <c r="E165">
        <v>152.74000549316401</v>
      </c>
      <c r="F165">
        <v>151.446197509765</v>
      </c>
      <c r="G165">
        <v>86652500</v>
      </c>
      <c r="H165">
        <v>0.1</v>
      </c>
      <c r="I165">
        <v>-6.3751998422900604E-3</v>
      </c>
      <c r="J165">
        <v>2.2273652620172502E-2</v>
      </c>
      <c r="K165">
        <v>155.08599700927701</v>
      </c>
      <c r="L165">
        <v>98.819999694824205</v>
      </c>
      <c r="M165">
        <v>101.23999786376901</v>
      </c>
      <c r="N165">
        <v>98.790000915527301</v>
      </c>
      <c r="O165">
        <v>100.139999389648</v>
      </c>
      <c r="P165">
        <v>100.139999389648</v>
      </c>
      <c r="Q165">
        <v>34298600</v>
      </c>
      <c r="R165">
        <v>0.1</v>
      </c>
      <c r="S165">
        <v>8.66237531150027E-3</v>
      </c>
      <c r="T165">
        <v>2.2269040805636599E-2</v>
      </c>
      <c r="U165">
        <v>104.017000579833</v>
      </c>
      <c r="V165">
        <v>237.86999511718699</v>
      </c>
      <c r="W165">
        <v>243.86000061035099</v>
      </c>
      <c r="X165">
        <v>237.57000732421801</v>
      </c>
      <c r="Y165">
        <v>240.97999572753901</v>
      </c>
      <c r="Z165">
        <v>237.75111389160099</v>
      </c>
      <c r="AA165">
        <v>31061200</v>
      </c>
      <c r="AB165">
        <v>0.1</v>
      </c>
      <c r="AC165">
        <v>8.4954961507557308E-3</v>
      </c>
      <c r="AD165">
        <v>1.8451726972917599E-2</v>
      </c>
      <c r="AE165">
        <v>249.23399963378901</v>
      </c>
      <c r="AF165">
        <v>163.14999389648401</v>
      </c>
      <c r="AG165">
        <v>167.16000366210901</v>
      </c>
      <c r="AH165">
        <v>162.83000183105401</v>
      </c>
      <c r="AI165">
        <v>166.17999267578099</v>
      </c>
      <c r="AJ165">
        <v>159.04382324218699</v>
      </c>
      <c r="AK165">
        <v>7401100</v>
      </c>
      <c r="AL165">
        <v>0.1</v>
      </c>
      <c r="AM165">
        <v>1.7760864270976999E-2</v>
      </c>
      <c r="AN165">
        <v>1.32801293594126E-2</v>
      </c>
      <c r="AO165">
        <v>165.07300109863201</v>
      </c>
      <c r="AP165">
        <v>59.549999237060497</v>
      </c>
      <c r="AQ165">
        <v>59.7299995422363</v>
      </c>
      <c r="AR165">
        <v>59.200000762939403</v>
      </c>
      <c r="AS165">
        <v>59.259998321533203</v>
      </c>
      <c r="AT165">
        <v>56.590362548828097</v>
      </c>
      <c r="AU165">
        <v>11657600</v>
      </c>
      <c r="AV165">
        <v>0.1</v>
      </c>
      <c r="AW165">
        <v>-2.3569562415702802E-3</v>
      </c>
      <c r="AX165">
        <v>1.1865995279215899E-2</v>
      </c>
      <c r="AY165">
        <v>60.370000457763602</v>
      </c>
      <c r="AZ165">
        <v>3.1849999427795401</v>
      </c>
      <c r="BA165">
        <v>3.1849999427795401</v>
      </c>
      <c r="BB165">
        <v>3.13000011444091</v>
      </c>
      <c r="BC165">
        <v>3.13000011444091</v>
      </c>
      <c r="BD165">
        <v>3.13000011444091</v>
      </c>
      <c r="BE165">
        <v>0</v>
      </c>
      <c r="BF165">
        <v>0.5</v>
      </c>
      <c r="BG165">
        <v>-1.8808759154637901E-2</v>
      </c>
      <c r="BH165">
        <v>2.2816961335386299E-2</v>
      </c>
      <c r="BI165">
        <v>3.1007000207901001</v>
      </c>
      <c r="BJ165">
        <f t="shared" si="2"/>
        <v>-6.7857216123816825E-3</v>
      </c>
    </row>
    <row r="166" spans="1:62">
      <c r="A166" s="2">
        <v>44827</v>
      </c>
      <c r="B166">
        <v>151.19000244140599</v>
      </c>
      <c r="C166">
        <v>151.47000122070301</v>
      </c>
      <c r="D166">
        <v>148.55999755859301</v>
      </c>
      <c r="E166">
        <v>150.42999267578099</v>
      </c>
      <c r="F166">
        <v>149.15576171875</v>
      </c>
      <c r="G166">
        <v>96029900</v>
      </c>
      <c r="H166">
        <v>0.1</v>
      </c>
      <c r="I166">
        <v>-1.51238230607907E-2</v>
      </c>
      <c r="J166">
        <v>2.1914112786461701E-2</v>
      </c>
      <c r="K166">
        <v>154.39199676513601</v>
      </c>
      <c r="L166">
        <v>99.629997253417898</v>
      </c>
      <c r="M166">
        <v>99.660003662109304</v>
      </c>
      <c r="N166">
        <v>97.470001220703097</v>
      </c>
      <c r="O166">
        <v>98.739997863769503</v>
      </c>
      <c r="P166">
        <v>98.739997863769503</v>
      </c>
      <c r="Q166">
        <v>31625400</v>
      </c>
      <c r="R166">
        <v>0.1</v>
      </c>
      <c r="S166">
        <v>-1.3980442724304799E-2</v>
      </c>
      <c r="T166">
        <v>2.09922456806565E-2</v>
      </c>
      <c r="U166">
        <v>102.826000213623</v>
      </c>
      <c r="V166">
        <v>239.53999328613199</v>
      </c>
      <c r="W166">
        <v>241.13000488281199</v>
      </c>
      <c r="X166">
        <v>235.19999694824199</v>
      </c>
      <c r="Y166">
        <v>237.919998168945</v>
      </c>
      <c r="Z166">
        <v>234.73210144042901</v>
      </c>
      <c r="AA166">
        <v>34176000</v>
      </c>
      <c r="AB166">
        <v>0.1</v>
      </c>
      <c r="AC166">
        <v>-1.26981393179768E-2</v>
      </c>
      <c r="AD166">
        <v>1.8015436564053699E-2</v>
      </c>
      <c r="AE166">
        <v>246.58000030517499</v>
      </c>
      <c r="AF166">
        <v>165.74000549316401</v>
      </c>
      <c r="AG166">
        <v>167.47999572753901</v>
      </c>
      <c r="AH166">
        <v>164.66000366210901</v>
      </c>
      <c r="AI166">
        <v>166.72000122070301</v>
      </c>
      <c r="AJ166">
        <v>159.56065368652301</v>
      </c>
      <c r="AK166">
        <v>9598600</v>
      </c>
      <c r="AL166">
        <v>0.1</v>
      </c>
      <c r="AM166">
        <v>3.2495400693357498E-3</v>
      </c>
      <c r="AN166">
        <v>1.31292594036156E-2</v>
      </c>
      <c r="AO166">
        <v>165.17400054931599</v>
      </c>
      <c r="AP166">
        <v>58.959999084472599</v>
      </c>
      <c r="AQ166">
        <v>59.099998474121001</v>
      </c>
      <c r="AR166">
        <v>58</v>
      </c>
      <c r="AS166">
        <v>58.599998474121001</v>
      </c>
      <c r="AT166">
        <v>55.960090637207003</v>
      </c>
      <c r="AU166">
        <v>14824000</v>
      </c>
      <c r="AV166">
        <v>0.1</v>
      </c>
      <c r="AW166">
        <v>-1.11373585235537E-2</v>
      </c>
      <c r="AX166">
        <v>1.17743313573741E-2</v>
      </c>
      <c r="AY166">
        <v>59.998000335693298</v>
      </c>
      <c r="AZ166">
        <v>3.1480000019073402</v>
      </c>
      <c r="BA166">
        <v>3.1480000019073402</v>
      </c>
      <c r="BB166">
        <v>3.0799999237060498</v>
      </c>
      <c r="BC166">
        <v>3.10800004005432</v>
      </c>
      <c r="BD166">
        <v>3.10800004005432</v>
      </c>
      <c r="BE166">
        <v>0</v>
      </c>
      <c r="BF166">
        <v>0.5</v>
      </c>
      <c r="BG166">
        <v>-7.0287775023056796E-3</v>
      </c>
      <c r="BH166">
        <v>2.3044741994326299E-2</v>
      </c>
      <c r="BI166">
        <v>3.1147000312805102</v>
      </c>
      <c r="BJ166">
        <f t="shared" si="2"/>
        <v>-8.4834111068818642E-3</v>
      </c>
    </row>
    <row r="167" spans="1:62">
      <c r="A167" s="2">
        <v>44830</v>
      </c>
      <c r="B167">
        <v>149.66000366210901</v>
      </c>
      <c r="C167">
        <v>153.77000427246</v>
      </c>
      <c r="D167">
        <v>149.63999938964801</v>
      </c>
      <c r="E167">
        <v>150.77000427246</v>
      </c>
      <c r="F167">
        <v>149.49288940429599</v>
      </c>
      <c r="G167">
        <v>93339400</v>
      </c>
      <c r="H167">
        <v>0.1</v>
      </c>
      <c r="I167">
        <v>2.2602646628622201E-3</v>
      </c>
      <c r="J167">
        <v>2.0644729061605398E-2</v>
      </c>
      <c r="K167">
        <v>153.12599792480401</v>
      </c>
      <c r="L167">
        <v>98.099998474121094</v>
      </c>
      <c r="M167">
        <v>99.879997253417898</v>
      </c>
      <c r="N167">
        <v>97.800003051757798</v>
      </c>
      <c r="O167">
        <v>98.169998168945298</v>
      </c>
      <c r="P167">
        <v>98.169998168945298</v>
      </c>
      <c r="Q167">
        <v>27072700</v>
      </c>
      <c r="R167">
        <v>0.1</v>
      </c>
      <c r="S167">
        <v>-5.7727335138354399E-3</v>
      </c>
      <c r="T167">
        <v>1.7983514797321701E-2</v>
      </c>
      <c r="U167">
        <v>101.55699996948201</v>
      </c>
      <c r="V167">
        <v>237.05000305175699</v>
      </c>
      <c r="W167">
        <v>241.44999694824199</v>
      </c>
      <c r="X167">
        <v>236.89999389648401</v>
      </c>
      <c r="Y167">
        <v>237.44999694824199</v>
      </c>
      <c r="Z167">
        <v>234.26840209960901</v>
      </c>
      <c r="AA167">
        <v>27694200</v>
      </c>
      <c r="AB167">
        <v>0.1</v>
      </c>
      <c r="AC167">
        <v>-1.97545908002816E-3</v>
      </c>
      <c r="AD167">
        <v>1.65145314341534E-2</v>
      </c>
      <c r="AE167">
        <v>243.66000061035101</v>
      </c>
      <c r="AF167">
        <v>165.80000305175699</v>
      </c>
      <c r="AG167">
        <v>166.83999633789</v>
      </c>
      <c r="AH167">
        <v>164.38000488281199</v>
      </c>
      <c r="AI167">
        <v>165.69999694824199</v>
      </c>
      <c r="AJ167">
        <v>158.58445739746</v>
      </c>
      <c r="AK167">
        <v>8735500</v>
      </c>
      <c r="AL167">
        <v>0.1</v>
      </c>
      <c r="AM167">
        <v>-6.1180678082569601E-3</v>
      </c>
      <c r="AN167">
        <v>1.25962078451321E-2</v>
      </c>
      <c r="AO167">
        <v>165.18000030517501</v>
      </c>
      <c r="AP167">
        <v>58.490001678466797</v>
      </c>
      <c r="AQ167">
        <v>58.569999694824197</v>
      </c>
      <c r="AR167">
        <v>57.689998626708899</v>
      </c>
      <c r="AS167">
        <v>57.869998931884702</v>
      </c>
      <c r="AT167">
        <v>55.262981414794901</v>
      </c>
      <c r="AU167">
        <v>18670100</v>
      </c>
      <c r="AV167">
        <v>0.1</v>
      </c>
      <c r="AW167">
        <v>-1.24573303966672E-2</v>
      </c>
      <c r="AX167">
        <v>1.10350965118273E-2</v>
      </c>
      <c r="AY167">
        <v>59.535000228881799</v>
      </c>
      <c r="AZ167">
        <v>3.1129999160766602</v>
      </c>
      <c r="BA167">
        <v>3.1679999828338601</v>
      </c>
      <c r="BB167">
        <v>3.09800004959106</v>
      </c>
      <c r="BC167">
        <v>3.1649999618530198</v>
      </c>
      <c r="BD167">
        <v>3.1649999618530198</v>
      </c>
      <c r="BE167">
        <v>0</v>
      </c>
      <c r="BF167">
        <v>0.5</v>
      </c>
      <c r="BG167">
        <v>1.8339742942123399E-2</v>
      </c>
      <c r="BH167">
        <v>2.3186244262908301E-2</v>
      </c>
      <c r="BI167">
        <v>3.1317000389099099</v>
      </c>
      <c r="BJ167">
        <f t="shared" si="2"/>
        <v>6.7635388574691455E-3</v>
      </c>
    </row>
    <row r="168" spans="1:62">
      <c r="A168" s="2">
        <v>44831</v>
      </c>
      <c r="B168">
        <v>152.74000549316401</v>
      </c>
      <c r="C168">
        <v>154.72000122070301</v>
      </c>
      <c r="D168">
        <v>149.94999694824199</v>
      </c>
      <c r="E168">
        <v>151.759994506835</v>
      </c>
      <c r="F168">
        <v>150.47450256347599</v>
      </c>
      <c r="G168">
        <v>84442700</v>
      </c>
      <c r="H168">
        <v>0.1</v>
      </c>
      <c r="I168">
        <v>6.5662280713738499E-3</v>
      </c>
      <c r="J168">
        <v>2.0634838814580399E-2</v>
      </c>
      <c r="K168">
        <v>152.917997741699</v>
      </c>
      <c r="L168">
        <v>99.430000305175696</v>
      </c>
      <c r="M168">
        <v>100</v>
      </c>
      <c r="N168">
        <v>96.870002746582003</v>
      </c>
      <c r="O168">
        <v>97.5</v>
      </c>
      <c r="P168">
        <v>97.5</v>
      </c>
      <c r="Q168">
        <v>30072800</v>
      </c>
      <c r="R168">
        <v>0.1</v>
      </c>
      <c r="S168">
        <v>-6.8248770647044701E-3</v>
      </c>
      <c r="T168">
        <v>1.7974881584915899E-2</v>
      </c>
      <c r="U168">
        <v>100.875</v>
      </c>
      <c r="V168">
        <v>239.97999572753901</v>
      </c>
      <c r="W168">
        <v>241.80000305175699</v>
      </c>
      <c r="X168">
        <v>234.5</v>
      </c>
      <c r="Y168">
        <v>236.41000366210901</v>
      </c>
      <c r="Z168">
        <v>233.24234008789</v>
      </c>
      <c r="AA168">
        <v>27018700</v>
      </c>
      <c r="AB168">
        <v>0.1</v>
      </c>
      <c r="AC168">
        <v>-4.3798412276227997E-3</v>
      </c>
      <c r="AD168">
        <v>1.6479161955555401E-2</v>
      </c>
      <c r="AE168">
        <v>242.102000427246</v>
      </c>
      <c r="AF168">
        <v>166.36000061035099</v>
      </c>
      <c r="AG168">
        <v>167.669998168945</v>
      </c>
      <c r="AH168">
        <v>164.39999389648401</v>
      </c>
      <c r="AI168">
        <v>164.94000244140599</v>
      </c>
      <c r="AJ168">
        <v>157.85710144042901</v>
      </c>
      <c r="AK168">
        <v>8686700</v>
      </c>
      <c r="AL168">
        <v>0.1</v>
      </c>
      <c r="AM168">
        <v>-4.5865692265120101E-3</v>
      </c>
      <c r="AN168">
        <v>1.2507252197227601E-2</v>
      </c>
      <c r="AO168">
        <v>165.54100036621</v>
      </c>
      <c r="AP168">
        <v>58.080001831054602</v>
      </c>
      <c r="AQ168">
        <v>58.369998931884702</v>
      </c>
      <c r="AR168">
        <v>56.310001373291001</v>
      </c>
      <c r="AS168">
        <v>56.380001068115199</v>
      </c>
      <c r="AT168">
        <v>53.8401069641113</v>
      </c>
      <c r="AU168">
        <v>23829300</v>
      </c>
      <c r="AV168">
        <v>0.1</v>
      </c>
      <c r="AW168">
        <v>-2.5747328344058101E-2</v>
      </c>
      <c r="AX168">
        <v>1.2036331205389701E-2</v>
      </c>
      <c r="AY168">
        <v>59.126000213623001</v>
      </c>
      <c r="AZ168">
        <v>3.2650001049041699</v>
      </c>
      <c r="BA168">
        <v>3.2650001049041699</v>
      </c>
      <c r="BB168">
        <v>3.2179999351501398</v>
      </c>
      <c r="BC168">
        <v>3.25</v>
      </c>
      <c r="BD168">
        <v>3.25</v>
      </c>
      <c r="BE168">
        <v>0</v>
      </c>
      <c r="BF168">
        <v>0.5</v>
      </c>
      <c r="BG168">
        <v>2.6856252502830101E-2</v>
      </c>
      <c r="BH168">
        <v>2.3534476034176698E-2</v>
      </c>
      <c r="BI168">
        <v>3.1414000272750799</v>
      </c>
      <c r="BJ168">
        <f t="shared" si="2"/>
        <v>9.9308874722626988E-3</v>
      </c>
    </row>
    <row r="169" spans="1:62">
      <c r="A169" s="2">
        <v>44832</v>
      </c>
      <c r="B169">
        <v>147.63999938964801</v>
      </c>
      <c r="C169">
        <v>150.63999938964801</v>
      </c>
      <c r="D169">
        <v>144.83999633789</v>
      </c>
      <c r="E169">
        <v>149.83999633789</v>
      </c>
      <c r="F169">
        <v>148.57077026367099</v>
      </c>
      <c r="G169">
        <v>146691400</v>
      </c>
      <c r="H169">
        <v>0.1</v>
      </c>
      <c r="I169">
        <v>-1.26515434794565E-2</v>
      </c>
      <c r="J169">
        <v>2.05590144335468E-2</v>
      </c>
      <c r="K169">
        <v>152.37099761962801</v>
      </c>
      <c r="L169">
        <v>97.650001525878906</v>
      </c>
      <c r="M169">
        <v>100.699996948242</v>
      </c>
      <c r="N169">
        <v>97.110000610351506</v>
      </c>
      <c r="O169">
        <v>100.050003051757</v>
      </c>
      <c r="P169">
        <v>100.050003051757</v>
      </c>
      <c r="Q169">
        <v>32466300</v>
      </c>
      <c r="R169">
        <v>0.1</v>
      </c>
      <c r="S169">
        <v>2.6153877453926201E-2</v>
      </c>
      <c r="T169">
        <v>1.9329120280589401E-2</v>
      </c>
      <c r="U169">
        <v>100.380000305175</v>
      </c>
      <c r="V169">
        <v>236.80999755859301</v>
      </c>
      <c r="W169">
        <v>242.33000183105401</v>
      </c>
      <c r="X169">
        <v>234.72999572753901</v>
      </c>
      <c r="Y169">
        <v>241.07000732421801</v>
      </c>
      <c r="Z169">
        <v>237.83988952636699</v>
      </c>
      <c r="AA169">
        <v>29029700</v>
      </c>
      <c r="AB169">
        <v>0.1</v>
      </c>
      <c r="AC169">
        <v>1.9711533310450498E-2</v>
      </c>
      <c r="AD169">
        <v>1.7399620899644599E-2</v>
      </c>
      <c r="AE169">
        <v>240.987001037597</v>
      </c>
      <c r="AF169">
        <v>166.25</v>
      </c>
      <c r="AG169">
        <v>167.38000488281199</v>
      </c>
      <c r="AH169">
        <v>165.100006103515</v>
      </c>
      <c r="AI169">
        <v>166.36000061035099</v>
      </c>
      <c r="AJ169">
        <v>159.21612548828099</v>
      </c>
      <c r="AK169">
        <v>8660900</v>
      </c>
      <c r="AL169">
        <v>0.1</v>
      </c>
      <c r="AM169">
        <v>8.6091799922809395E-3</v>
      </c>
      <c r="AN169">
        <v>1.2587864972216801E-2</v>
      </c>
      <c r="AO169">
        <v>165.71100006103501</v>
      </c>
      <c r="AP169">
        <v>56.659999847412102</v>
      </c>
      <c r="AQ169">
        <v>57.25</v>
      </c>
      <c r="AR169">
        <v>55.909999847412102</v>
      </c>
      <c r="AS169">
        <v>56.9799995422363</v>
      </c>
      <c r="AT169">
        <v>54.413074493408203</v>
      </c>
      <c r="AU169">
        <v>21480100</v>
      </c>
      <c r="AV169">
        <v>0.1</v>
      </c>
      <c r="AW169">
        <v>1.0642044390815199E-2</v>
      </c>
      <c r="AX169">
        <v>1.25015979073627E-2</v>
      </c>
      <c r="AY169">
        <v>58.745000076293898</v>
      </c>
      <c r="AZ169">
        <v>3.2149999141693102</v>
      </c>
      <c r="BA169">
        <v>3.2349998950958199</v>
      </c>
      <c r="BB169">
        <v>3.20000004768371</v>
      </c>
      <c r="BC169">
        <v>3.2300000190734801</v>
      </c>
      <c r="BD169">
        <v>3.2300000190734801</v>
      </c>
      <c r="BE169">
        <v>0</v>
      </c>
      <c r="BF169">
        <v>0.5</v>
      </c>
      <c r="BG169">
        <v>-6.1538402850811399E-3</v>
      </c>
      <c r="BH169">
        <v>2.32842332698447E-2</v>
      </c>
      <c r="BI169">
        <v>3.1516000270843501</v>
      </c>
      <c r="BJ169">
        <f t="shared" si="2"/>
        <v>2.1695890242610649E-3</v>
      </c>
    </row>
    <row r="170" spans="1:62">
      <c r="A170" s="2">
        <v>44833</v>
      </c>
      <c r="B170">
        <v>146.100006103515</v>
      </c>
      <c r="C170">
        <v>146.72000122070301</v>
      </c>
      <c r="D170">
        <v>140.67999267578099</v>
      </c>
      <c r="E170">
        <v>142.47999572753901</v>
      </c>
      <c r="F170">
        <v>141.27310180664</v>
      </c>
      <c r="G170">
        <v>128138200</v>
      </c>
      <c r="H170">
        <v>0.1</v>
      </c>
      <c r="I170">
        <v>-4.9119065604851499E-2</v>
      </c>
      <c r="J170">
        <v>2.2994376695142101E-2</v>
      </c>
      <c r="K170">
        <v>151.381997680664</v>
      </c>
      <c r="L170">
        <v>98.639999389648395</v>
      </c>
      <c r="M170">
        <v>98.639999389648395</v>
      </c>
      <c r="N170">
        <v>95.959999084472599</v>
      </c>
      <c r="O170">
        <v>97.419998168945298</v>
      </c>
      <c r="P170">
        <v>97.419998168945298</v>
      </c>
      <c r="Q170">
        <v>31047200</v>
      </c>
      <c r="R170">
        <v>0.1</v>
      </c>
      <c r="S170">
        <v>-2.62869045736254E-2</v>
      </c>
      <c r="T170">
        <v>1.9955969090812299E-2</v>
      </c>
      <c r="U170">
        <v>99.830999755859295</v>
      </c>
      <c r="V170">
        <v>238.88999938964801</v>
      </c>
      <c r="W170">
        <v>239.94999694824199</v>
      </c>
      <c r="X170">
        <v>234.41000366210901</v>
      </c>
      <c r="Y170">
        <v>237.5</v>
      </c>
      <c r="Z170">
        <v>234.31774902343699</v>
      </c>
      <c r="AA170">
        <v>27484200</v>
      </c>
      <c r="AB170">
        <v>0.1</v>
      </c>
      <c r="AC170">
        <v>-1.48090065779828E-2</v>
      </c>
      <c r="AD170">
        <v>1.75596391367655E-2</v>
      </c>
      <c r="AE170">
        <v>240.199000549316</v>
      </c>
      <c r="AF170">
        <v>166.47999572753901</v>
      </c>
      <c r="AG170">
        <v>167.169998168945</v>
      </c>
      <c r="AH170">
        <v>163.88999938964801</v>
      </c>
      <c r="AI170">
        <v>164.52999877929599</v>
      </c>
      <c r="AJ170">
        <v>157.46469116210901</v>
      </c>
      <c r="AK170">
        <v>7008100</v>
      </c>
      <c r="AL170">
        <v>0.1</v>
      </c>
      <c r="AM170">
        <v>-1.10002514086359E-2</v>
      </c>
      <c r="AN170">
        <v>1.2766306533247699E-2</v>
      </c>
      <c r="AO170">
        <v>165.655999755859</v>
      </c>
      <c r="AP170">
        <v>57.090000152587798</v>
      </c>
      <c r="AQ170">
        <v>57.290000915527301</v>
      </c>
      <c r="AR170">
        <v>56</v>
      </c>
      <c r="AS170">
        <v>56.569999694824197</v>
      </c>
      <c r="AT170">
        <v>54.021549224853501</v>
      </c>
      <c r="AU170">
        <v>14570700</v>
      </c>
      <c r="AV170">
        <v>0.1</v>
      </c>
      <c r="AW170">
        <v>-7.1955045753939696E-3</v>
      </c>
      <c r="AX170">
        <v>1.25030003976077E-2</v>
      </c>
      <c r="AY170">
        <v>58.449000167846599</v>
      </c>
      <c r="AZ170">
        <v>3.2249999046325599</v>
      </c>
      <c r="BA170">
        <v>3.2430000305175701</v>
      </c>
      <c r="BB170">
        <v>3.1849999427795401</v>
      </c>
      <c r="BC170">
        <v>3.2179999351501398</v>
      </c>
      <c r="BD170">
        <v>3.2179999351501398</v>
      </c>
      <c r="BE170">
        <v>0</v>
      </c>
      <c r="BF170">
        <v>0.5</v>
      </c>
      <c r="BG170">
        <v>-3.71519623915728E-3</v>
      </c>
      <c r="BH170">
        <v>2.3265438803841201E-2</v>
      </c>
      <c r="BI170">
        <v>3.1639000177383401</v>
      </c>
      <c r="BJ170">
        <f t="shared" si="2"/>
        <v>-1.2698671393627597E-2</v>
      </c>
    </row>
    <row r="171" spans="1:62">
      <c r="A171" s="2">
        <v>44834</v>
      </c>
      <c r="B171">
        <v>141.27999877929599</v>
      </c>
      <c r="C171">
        <v>143.100006103515</v>
      </c>
      <c r="D171">
        <v>138</v>
      </c>
      <c r="E171">
        <v>138.19999694824199</v>
      </c>
      <c r="F171">
        <v>137.029373168945</v>
      </c>
      <c r="G171">
        <v>124925300</v>
      </c>
      <c r="H171">
        <v>0.1</v>
      </c>
      <c r="I171">
        <v>-3.00392960951614E-2</v>
      </c>
      <c r="J171">
        <v>2.3555530885970202E-2</v>
      </c>
      <c r="K171">
        <v>150.131997680664</v>
      </c>
      <c r="L171">
        <v>97.050003051757798</v>
      </c>
      <c r="M171">
        <v>98.900001525878906</v>
      </c>
      <c r="N171">
        <v>95.559997558593693</v>
      </c>
      <c r="O171">
        <v>95.650001525878906</v>
      </c>
      <c r="P171">
        <v>95.650001525878906</v>
      </c>
      <c r="Q171">
        <v>32941500</v>
      </c>
      <c r="R171">
        <v>0.1</v>
      </c>
      <c r="S171">
        <v>-1.8168719732440101E-2</v>
      </c>
      <c r="T171">
        <v>1.9630905663715E-2</v>
      </c>
      <c r="U171">
        <v>99.115999603271405</v>
      </c>
      <c r="V171">
        <v>238.28999328613199</v>
      </c>
      <c r="W171">
        <v>240.53999328613199</v>
      </c>
      <c r="X171">
        <v>232.72999572753901</v>
      </c>
      <c r="Y171">
        <v>232.89999389648401</v>
      </c>
      <c r="Z171">
        <v>229.77935791015599</v>
      </c>
      <c r="AA171">
        <v>35694800</v>
      </c>
      <c r="AB171">
        <v>0.1</v>
      </c>
      <c r="AC171">
        <v>-1.9368446751644699E-2</v>
      </c>
      <c r="AD171">
        <v>1.78638317986674E-2</v>
      </c>
      <c r="AE171">
        <v>239.01499938964801</v>
      </c>
      <c r="AF171">
        <v>165</v>
      </c>
      <c r="AG171">
        <v>165.74000549316401</v>
      </c>
      <c r="AH171">
        <v>163.32000732421801</v>
      </c>
      <c r="AI171">
        <v>163.36000061035099</v>
      </c>
      <c r="AJ171">
        <v>156.344955444335</v>
      </c>
      <c r="AK171">
        <v>8985200</v>
      </c>
      <c r="AL171">
        <v>0.1</v>
      </c>
      <c r="AM171">
        <v>-7.1111540608151903E-3</v>
      </c>
      <c r="AN171">
        <v>1.1582742841582601E-2</v>
      </c>
      <c r="AO171">
        <v>165.23199920654201</v>
      </c>
      <c r="AP171">
        <v>56.869998931884702</v>
      </c>
      <c r="AQ171">
        <v>57.130001068115199</v>
      </c>
      <c r="AR171">
        <v>56</v>
      </c>
      <c r="AS171">
        <v>56.020000457763601</v>
      </c>
      <c r="AT171">
        <v>53.496322631835902</v>
      </c>
      <c r="AU171">
        <v>16124600</v>
      </c>
      <c r="AV171">
        <v>0.1</v>
      </c>
      <c r="AW171">
        <v>-9.7224543048895998E-3</v>
      </c>
      <c r="AX171">
        <v>1.2374055087691601E-2</v>
      </c>
      <c r="AY171">
        <v>58.097000122070298</v>
      </c>
      <c r="AZ171">
        <v>3.2049999237060498</v>
      </c>
      <c r="BA171">
        <v>3.2349998950958199</v>
      </c>
      <c r="BB171">
        <v>3.1649999618530198</v>
      </c>
      <c r="BC171">
        <v>3.1800000667571999</v>
      </c>
      <c r="BD171">
        <v>3.1800000667571999</v>
      </c>
      <c r="BE171">
        <v>0</v>
      </c>
      <c r="BF171">
        <v>0.5</v>
      </c>
      <c r="BG171">
        <v>-1.18085360965587E-2</v>
      </c>
      <c r="BH171">
        <v>2.3589627030365701E-2</v>
      </c>
      <c r="BI171">
        <v>3.1749000310897801</v>
      </c>
      <c r="BJ171">
        <f t="shared" si="2"/>
        <v>-1.434527514277445E-2</v>
      </c>
    </row>
    <row r="172" spans="1:62">
      <c r="A172" s="2">
        <v>44837</v>
      </c>
      <c r="B172">
        <v>138.21000671386699</v>
      </c>
      <c r="C172">
        <v>143.07000732421801</v>
      </c>
      <c r="D172">
        <v>137.69000244140599</v>
      </c>
      <c r="E172">
        <v>142.44999694824199</v>
      </c>
      <c r="F172">
        <v>141.24334716796801</v>
      </c>
      <c r="G172">
        <v>114311700</v>
      </c>
      <c r="H172">
        <v>0.1</v>
      </c>
      <c r="I172">
        <v>3.0752533240588201E-2</v>
      </c>
      <c r="J172">
        <v>2.4890997494093299E-2</v>
      </c>
      <c r="K172">
        <v>148.92899780273399</v>
      </c>
      <c r="L172">
        <v>96.760002136230398</v>
      </c>
      <c r="M172">
        <v>99.290000915527301</v>
      </c>
      <c r="N172">
        <v>96.519996643066406</v>
      </c>
      <c r="O172">
        <v>98.639999389648395</v>
      </c>
      <c r="P172">
        <v>98.639999389648395</v>
      </c>
      <c r="Q172">
        <v>27982000</v>
      </c>
      <c r="R172">
        <v>0.1</v>
      </c>
      <c r="S172">
        <v>3.1259778526616801E-2</v>
      </c>
      <c r="T172">
        <v>2.1189711157906702E-2</v>
      </c>
      <c r="U172">
        <v>98.672999572753895</v>
      </c>
      <c r="V172">
        <v>235.41000366210901</v>
      </c>
      <c r="W172">
        <v>241.61000061035099</v>
      </c>
      <c r="X172">
        <v>234.66000366210901</v>
      </c>
      <c r="Y172">
        <v>240.74000549316401</v>
      </c>
      <c r="Z172">
        <v>237.51432800292901</v>
      </c>
      <c r="AA172">
        <v>28880400</v>
      </c>
      <c r="AB172">
        <v>0.1</v>
      </c>
      <c r="AC172">
        <v>3.3662566776039897E-2</v>
      </c>
      <c r="AD172">
        <v>1.9650402259950499E-2</v>
      </c>
      <c r="AE172">
        <v>238.63699951171799</v>
      </c>
      <c r="AF172">
        <v>164.28999328613199</v>
      </c>
      <c r="AG172">
        <v>164.38000488281199</v>
      </c>
      <c r="AH172">
        <v>161.69999694824199</v>
      </c>
      <c r="AI172">
        <v>163.19999694824199</v>
      </c>
      <c r="AJ172">
        <v>156.19181823730401</v>
      </c>
      <c r="AK172">
        <v>8657000</v>
      </c>
      <c r="AL172">
        <v>0.1</v>
      </c>
      <c r="AM172">
        <v>-9.794543432392049E-4</v>
      </c>
      <c r="AN172">
        <v>1.10208532320631E-2</v>
      </c>
      <c r="AO172">
        <v>164.92399902343701</v>
      </c>
      <c r="AP172">
        <v>56.360000610351499</v>
      </c>
      <c r="AQ172">
        <v>56.849998474121001</v>
      </c>
      <c r="AR172">
        <v>56.060001373291001</v>
      </c>
      <c r="AS172">
        <v>56.650001525878899</v>
      </c>
      <c r="AT172">
        <v>54.097942352294901</v>
      </c>
      <c r="AU172">
        <v>16277600</v>
      </c>
      <c r="AV172">
        <v>0.1</v>
      </c>
      <c r="AW172">
        <v>1.1246002552074599E-2</v>
      </c>
      <c r="AX172">
        <v>1.2701883841704001E-2</v>
      </c>
      <c r="AY172">
        <v>57.763000106811504</v>
      </c>
      <c r="AZ172">
        <v>3.1649999618530198</v>
      </c>
      <c r="BA172">
        <v>3.1900000572204501</v>
      </c>
      <c r="BB172">
        <v>3.1400001049041699</v>
      </c>
      <c r="BC172">
        <v>3.1500000953674299</v>
      </c>
      <c r="BD172">
        <v>3.1500000953674299</v>
      </c>
      <c r="BE172">
        <v>0</v>
      </c>
      <c r="BF172">
        <v>0.5</v>
      </c>
      <c r="BG172">
        <v>-9.4339530691780402E-3</v>
      </c>
      <c r="BH172">
        <v>2.33656498642714E-2</v>
      </c>
      <c r="BI172">
        <v>3.18640003204345</v>
      </c>
      <c r="BJ172">
        <f t="shared" si="2"/>
        <v>5.87716614061901E-3</v>
      </c>
    </row>
    <row r="173" spans="1:62">
      <c r="A173" s="2">
        <v>44838</v>
      </c>
      <c r="B173">
        <v>145.02999877929599</v>
      </c>
      <c r="C173">
        <v>146.22000122070301</v>
      </c>
      <c r="D173">
        <v>144.259994506835</v>
      </c>
      <c r="E173">
        <v>146.100006103515</v>
      </c>
      <c r="F173">
        <v>144.86247253417901</v>
      </c>
      <c r="G173">
        <v>87830100</v>
      </c>
      <c r="H173">
        <v>0.1</v>
      </c>
      <c r="I173">
        <v>2.5623090442042199E-2</v>
      </c>
      <c r="J173">
        <v>2.57375496294391E-2</v>
      </c>
      <c r="K173">
        <v>147.84899902343699</v>
      </c>
      <c r="L173">
        <v>100.44000244140599</v>
      </c>
      <c r="M173">
        <v>101.83999633789</v>
      </c>
      <c r="N173">
        <v>100.379997253417</v>
      </c>
      <c r="O173">
        <v>101.639999389648</v>
      </c>
      <c r="P173">
        <v>101.639999389648</v>
      </c>
      <c r="Q173">
        <v>28850800</v>
      </c>
      <c r="R173">
        <v>0.1</v>
      </c>
      <c r="S173">
        <v>3.0413625492325701E-2</v>
      </c>
      <c r="T173">
        <v>2.2504206679133599E-2</v>
      </c>
      <c r="U173">
        <v>98.722999572753906</v>
      </c>
      <c r="V173">
        <v>245.08999633789</v>
      </c>
      <c r="W173">
        <v>250.36000061035099</v>
      </c>
      <c r="X173">
        <v>244.97999572753901</v>
      </c>
      <c r="Y173">
        <v>248.88000488281199</v>
      </c>
      <c r="Z173">
        <v>245.54525756835901</v>
      </c>
      <c r="AA173">
        <v>34888400</v>
      </c>
      <c r="AB173">
        <v>0.1</v>
      </c>
      <c r="AC173">
        <v>3.38124084236575E-2</v>
      </c>
      <c r="AD173">
        <v>2.11740535641654E-2</v>
      </c>
      <c r="AE173">
        <v>239.28000030517501</v>
      </c>
      <c r="AF173">
        <v>163.850006103515</v>
      </c>
      <c r="AG173">
        <v>166</v>
      </c>
      <c r="AH173">
        <v>162.919998168945</v>
      </c>
      <c r="AI173">
        <v>165.61999511718699</v>
      </c>
      <c r="AJ173">
        <v>158.50787353515599</v>
      </c>
      <c r="AK173">
        <v>6236100</v>
      </c>
      <c r="AL173">
        <v>0.1</v>
      </c>
      <c r="AM173">
        <v>1.48284204301352E-2</v>
      </c>
      <c r="AN173">
        <v>1.14894089855265E-2</v>
      </c>
      <c r="AO173">
        <v>164.988998413085</v>
      </c>
      <c r="AP173">
        <v>56.950000762939403</v>
      </c>
      <c r="AQ173">
        <v>57.810001373291001</v>
      </c>
      <c r="AR173">
        <v>56.459999084472599</v>
      </c>
      <c r="AS173">
        <v>56.779998779296797</v>
      </c>
      <c r="AT173">
        <v>54.222087860107401</v>
      </c>
      <c r="AU173">
        <v>18861400</v>
      </c>
      <c r="AV173">
        <v>0.1</v>
      </c>
      <c r="AW173">
        <v>2.2947440408909101E-3</v>
      </c>
      <c r="AX173">
        <v>1.27398404000779E-2</v>
      </c>
      <c r="AY173">
        <v>57.4509998321533</v>
      </c>
      <c r="AZ173">
        <v>3.3050000667571999</v>
      </c>
      <c r="BA173">
        <v>3.3199999332427899</v>
      </c>
      <c r="BB173">
        <v>3.2599999904632502</v>
      </c>
      <c r="BC173">
        <v>3.3150000572204501</v>
      </c>
      <c r="BD173">
        <v>3.3150000572204501</v>
      </c>
      <c r="BE173">
        <v>0</v>
      </c>
      <c r="BF173">
        <v>0.5</v>
      </c>
      <c r="BG173">
        <v>5.23809386849498E-2</v>
      </c>
      <c r="BH173">
        <v>2.55864974393906E-2</v>
      </c>
      <c r="BI173">
        <v>3.1936000347137399</v>
      </c>
      <c r="BJ173">
        <f t="shared" si="2"/>
        <v>3.6887698225380051E-2</v>
      </c>
    </row>
    <row r="174" spans="1:62">
      <c r="A174" s="2">
        <v>44839</v>
      </c>
      <c r="B174">
        <v>144.07000732421801</v>
      </c>
      <c r="C174">
        <v>147.38000488281199</v>
      </c>
      <c r="D174">
        <v>143.009994506835</v>
      </c>
      <c r="E174">
        <v>146.39999389648401</v>
      </c>
      <c r="F174">
        <v>145.159896850585</v>
      </c>
      <c r="G174">
        <v>79471000</v>
      </c>
      <c r="H174">
        <v>0.1</v>
      </c>
      <c r="I174">
        <v>2.0533044519943601E-3</v>
      </c>
      <c r="J174">
        <v>2.5614799036392601E-2</v>
      </c>
      <c r="K174">
        <v>147.11699829101499</v>
      </c>
      <c r="L174">
        <v>99.830001831054602</v>
      </c>
      <c r="M174">
        <v>101.930000305175</v>
      </c>
      <c r="N174">
        <v>98.800003051757798</v>
      </c>
      <c r="O174">
        <v>101.430000305175</v>
      </c>
      <c r="P174">
        <v>101.430000305175</v>
      </c>
      <c r="Q174">
        <v>22176900</v>
      </c>
      <c r="R174">
        <v>0.1</v>
      </c>
      <c r="S174">
        <v>-2.0661067073367502E-3</v>
      </c>
      <c r="T174">
        <v>2.1594486968115702E-2</v>
      </c>
      <c r="U174">
        <v>98.937999725341797</v>
      </c>
      <c r="V174">
        <v>245.99000549316401</v>
      </c>
      <c r="W174">
        <v>250.58000183105401</v>
      </c>
      <c r="X174">
        <v>244.100006103515</v>
      </c>
      <c r="Y174">
        <v>249.19999694824199</v>
      </c>
      <c r="Z174">
        <v>245.86097717285099</v>
      </c>
      <c r="AA174">
        <v>20347100</v>
      </c>
      <c r="AB174">
        <v>0.1</v>
      </c>
      <c r="AC174">
        <v>1.2857282993881101E-3</v>
      </c>
      <c r="AD174">
        <v>2.0667315554543202E-2</v>
      </c>
      <c r="AE174">
        <v>240.30500030517501</v>
      </c>
      <c r="AF174">
        <v>165.02000427246</v>
      </c>
      <c r="AG174">
        <v>166.03999328613199</v>
      </c>
      <c r="AH174">
        <v>164.21000671386699</v>
      </c>
      <c r="AI174">
        <v>165.11000061035099</v>
      </c>
      <c r="AJ174">
        <v>158.01979064941401</v>
      </c>
      <c r="AK174">
        <v>4539400</v>
      </c>
      <c r="AL174">
        <v>0.1</v>
      </c>
      <c r="AM174">
        <v>-3.0793051676827302E-3</v>
      </c>
      <c r="AN174">
        <v>1.1466100868016299E-2</v>
      </c>
      <c r="AO174">
        <v>165.171998596191</v>
      </c>
      <c r="AP174">
        <v>56.5</v>
      </c>
      <c r="AQ174">
        <v>56.650001525878899</v>
      </c>
      <c r="AR174">
        <v>55.509998321533203</v>
      </c>
      <c r="AS174">
        <v>56.240001678466797</v>
      </c>
      <c r="AT174">
        <v>53.706413269042898</v>
      </c>
      <c r="AU174">
        <v>14324900</v>
      </c>
      <c r="AV174">
        <v>0.1</v>
      </c>
      <c r="AW174">
        <v>-9.5103401274987398E-3</v>
      </c>
      <c r="AX174">
        <v>1.1675047923531599E-2</v>
      </c>
      <c r="AY174">
        <v>57.134999847412097</v>
      </c>
      <c r="AZ174">
        <v>3.2899999618530198</v>
      </c>
      <c r="BA174">
        <v>3.3150000572204501</v>
      </c>
      <c r="BB174">
        <v>3.2899999618530198</v>
      </c>
      <c r="BC174">
        <v>3.2929999828338601</v>
      </c>
      <c r="BD174">
        <v>3.2929999828338601</v>
      </c>
      <c r="BE174">
        <v>0</v>
      </c>
      <c r="BF174">
        <v>0.5</v>
      </c>
      <c r="BG174">
        <v>-6.6365230789899804E-3</v>
      </c>
      <c r="BH174">
        <v>2.5188549256722401E-2</v>
      </c>
      <c r="BI174">
        <v>3.2039000272750799</v>
      </c>
      <c r="BJ174">
        <f t="shared" si="2"/>
        <v>-4.4499334646085648E-3</v>
      </c>
    </row>
    <row r="175" spans="1:62">
      <c r="A175" s="2">
        <v>44840</v>
      </c>
      <c r="B175">
        <v>145.80999755859301</v>
      </c>
      <c r="C175">
        <v>147.53999328613199</v>
      </c>
      <c r="D175">
        <v>145.22000122070301</v>
      </c>
      <c r="E175">
        <v>145.42999267578099</v>
      </c>
      <c r="F175">
        <v>144.19810485839801</v>
      </c>
      <c r="G175">
        <v>68402200</v>
      </c>
      <c r="H175">
        <v>0.1</v>
      </c>
      <c r="I175">
        <v>-6.6256916744750196E-3</v>
      </c>
      <c r="J175">
        <v>2.55818627191013E-2</v>
      </c>
      <c r="K175">
        <v>146.38599700927699</v>
      </c>
      <c r="L175">
        <v>100.680000305175</v>
      </c>
      <c r="M175">
        <v>102.930000305175</v>
      </c>
      <c r="N175">
        <v>100.58999633789</v>
      </c>
      <c r="O175">
        <v>101.419998168945</v>
      </c>
      <c r="P175">
        <v>101.419998168945</v>
      </c>
      <c r="Q175">
        <v>22324000</v>
      </c>
      <c r="R175">
        <v>0.1</v>
      </c>
      <c r="S175" s="23">
        <v>-9.8611221535760394E-5</v>
      </c>
      <c r="T175">
        <v>2.1556590793025798E-2</v>
      </c>
      <c r="U175">
        <v>99.065999603271393</v>
      </c>
      <c r="V175">
        <v>247.92999267578099</v>
      </c>
      <c r="W175">
        <v>250.33999633789</v>
      </c>
      <c r="X175">
        <v>246.08000183105401</v>
      </c>
      <c r="Y175">
        <v>246.78999328613199</v>
      </c>
      <c r="Z175">
        <v>243.48326110839801</v>
      </c>
      <c r="AA175">
        <v>20239900</v>
      </c>
      <c r="AB175">
        <v>0.1</v>
      </c>
      <c r="AC175">
        <v>-9.6709618443933092E-3</v>
      </c>
      <c r="AD175">
        <v>2.07299398101553E-2</v>
      </c>
      <c r="AE175">
        <v>240.88600006103499</v>
      </c>
      <c r="AF175">
        <v>164.78999328613199</v>
      </c>
      <c r="AG175">
        <v>165</v>
      </c>
      <c r="AH175">
        <v>161.69000244140599</v>
      </c>
      <c r="AI175">
        <v>161.91000366210901</v>
      </c>
      <c r="AJ175">
        <v>154.95721435546801</v>
      </c>
      <c r="AK175">
        <v>5890700</v>
      </c>
      <c r="AL175">
        <v>0.1</v>
      </c>
      <c r="AM175">
        <v>-1.9381000159971899E-2</v>
      </c>
      <c r="AN175">
        <v>1.21221924232238E-2</v>
      </c>
      <c r="AO175">
        <v>164.744999694824</v>
      </c>
      <c r="AP175">
        <v>56</v>
      </c>
      <c r="AQ175">
        <v>56.099998474121001</v>
      </c>
      <c r="AR175">
        <v>54.869998931884702</v>
      </c>
      <c r="AS175">
        <v>55.029998779296797</v>
      </c>
      <c r="AT175">
        <v>52.5509223937988</v>
      </c>
      <c r="AU175">
        <v>17192800</v>
      </c>
      <c r="AV175">
        <v>0.1</v>
      </c>
      <c r="AW175">
        <v>-2.1514986896474499E-2</v>
      </c>
      <c r="AX175">
        <v>1.22259752818435E-2</v>
      </c>
      <c r="AY175">
        <v>56.711999893188398</v>
      </c>
      <c r="AZ175">
        <v>3.28500008583068</v>
      </c>
      <c r="BA175">
        <v>3.2980000972747798</v>
      </c>
      <c r="BB175">
        <v>3.26300001144409</v>
      </c>
      <c r="BC175">
        <v>3.2880001068115199</v>
      </c>
      <c r="BD175">
        <v>3.2880001068115199</v>
      </c>
      <c r="BE175">
        <v>0</v>
      </c>
      <c r="BF175">
        <v>0.5</v>
      </c>
      <c r="BG175">
        <v>-1.51833466395467E-3</v>
      </c>
      <c r="BH175">
        <v>2.5246209013914798E-2</v>
      </c>
      <c r="BI175">
        <v>3.21970002651214</v>
      </c>
      <c r="BJ175">
        <f t="shared" si="2"/>
        <v>-6.4882925116623831E-3</v>
      </c>
    </row>
    <row r="176" spans="1:62">
      <c r="A176" s="2">
        <v>44841</v>
      </c>
      <c r="B176">
        <v>142.53999328613199</v>
      </c>
      <c r="C176">
        <v>143.100006103515</v>
      </c>
      <c r="D176">
        <v>139.44999694824199</v>
      </c>
      <c r="E176">
        <v>140.08999633789</v>
      </c>
      <c r="F176">
        <v>138.90336608886699</v>
      </c>
      <c r="G176">
        <v>85925600</v>
      </c>
      <c r="H176">
        <v>0.1</v>
      </c>
      <c r="I176">
        <v>-3.6718672947990201E-2</v>
      </c>
      <c r="J176">
        <v>2.6131172050866999E-2</v>
      </c>
      <c r="K176">
        <v>145.351997375488</v>
      </c>
      <c r="L176">
        <v>99.849998474121094</v>
      </c>
      <c r="M176">
        <v>100.52999877929599</v>
      </c>
      <c r="N176">
        <v>98.300003051757798</v>
      </c>
      <c r="O176">
        <v>98.680000305175696</v>
      </c>
      <c r="P176">
        <v>98.680000305175696</v>
      </c>
      <c r="Q176">
        <v>27502800</v>
      </c>
      <c r="R176">
        <v>0.1</v>
      </c>
      <c r="S176">
        <v>-2.7016347004909701E-2</v>
      </c>
      <c r="T176">
        <v>2.1409306424718201E-2</v>
      </c>
      <c r="U176">
        <v>99.059999847412101</v>
      </c>
      <c r="V176">
        <v>240.89999389648401</v>
      </c>
      <c r="W176">
        <v>241.32000732421801</v>
      </c>
      <c r="X176">
        <v>233.169998168945</v>
      </c>
      <c r="Y176">
        <v>234.24000549316401</v>
      </c>
      <c r="Z176">
        <v>231.10144042968699</v>
      </c>
      <c r="AA176">
        <v>37769600</v>
      </c>
      <c r="AB176">
        <v>0.1</v>
      </c>
      <c r="AC176">
        <v>-5.0852903822636103E-2</v>
      </c>
      <c r="AD176">
        <v>2.2522896365308999E-2</v>
      </c>
      <c r="AE176">
        <v>240.51800079345699</v>
      </c>
      <c r="AF176">
        <v>161.77000427246</v>
      </c>
      <c r="AG176">
        <v>162.22000122070301</v>
      </c>
      <c r="AH176">
        <v>159.169998168945</v>
      </c>
      <c r="AI176">
        <v>160.19999694824199</v>
      </c>
      <c r="AJ176">
        <v>153.32064819335901</v>
      </c>
      <c r="AK176">
        <v>6363500</v>
      </c>
      <c r="AL176">
        <v>0.1</v>
      </c>
      <c r="AM176">
        <v>-1.0561464240565401E-2</v>
      </c>
      <c r="AN176">
        <v>1.22843120905211E-2</v>
      </c>
      <c r="AO176">
        <v>164.09299926757799</v>
      </c>
      <c r="AP176">
        <v>54.990001678466797</v>
      </c>
      <c r="AQ176">
        <v>55.090000152587798</v>
      </c>
      <c r="AR176">
        <v>54.25</v>
      </c>
      <c r="AS176">
        <v>54.509998321533203</v>
      </c>
      <c r="AT176">
        <v>52.054347991943303</v>
      </c>
      <c r="AU176">
        <v>11479800</v>
      </c>
      <c r="AV176">
        <v>0.1</v>
      </c>
      <c r="AW176">
        <v>-9.4493997691910102E-3</v>
      </c>
      <c r="AX176">
        <v>1.20517793204376E-2</v>
      </c>
      <c r="AY176">
        <v>56.302999877929601</v>
      </c>
      <c r="AZ176">
        <v>3.2730000019073402</v>
      </c>
      <c r="BA176">
        <v>3.29500007629394</v>
      </c>
      <c r="BB176">
        <v>3.23300004005432</v>
      </c>
      <c r="BC176">
        <v>3.2929999828338601</v>
      </c>
      <c r="BD176">
        <v>3.2929999828338601</v>
      </c>
      <c r="BE176">
        <v>0</v>
      </c>
      <c r="BF176">
        <v>0.5</v>
      </c>
      <c r="BG176">
        <v>1.5206435097070399E-3</v>
      </c>
      <c r="BH176">
        <v>2.52634634938479E-2</v>
      </c>
      <c r="BI176">
        <v>3.2382000207900998</v>
      </c>
      <c r="BJ176">
        <f t="shared" si="2"/>
        <v>-1.2699557023675723E-2</v>
      </c>
    </row>
    <row r="177" spans="1:62">
      <c r="A177" s="2">
        <v>44844</v>
      </c>
      <c r="B177">
        <v>140.419998168945</v>
      </c>
      <c r="C177">
        <v>141.88999938964801</v>
      </c>
      <c r="D177">
        <v>138.57000732421801</v>
      </c>
      <c r="E177">
        <v>140.419998168945</v>
      </c>
      <c r="F177">
        <v>139.23057556152301</v>
      </c>
      <c r="G177">
        <v>74899000</v>
      </c>
      <c r="H177">
        <v>0.1</v>
      </c>
      <c r="I177">
        <v>2.3556416566585798E-3</v>
      </c>
      <c r="J177">
        <v>2.41003063857155E-2</v>
      </c>
      <c r="K177">
        <v>144.316996765136</v>
      </c>
      <c r="L177">
        <v>99</v>
      </c>
      <c r="M177">
        <v>99.099998474121094</v>
      </c>
      <c r="N177">
        <v>97.010002136230398</v>
      </c>
      <c r="O177">
        <v>97.860000610351506</v>
      </c>
      <c r="P177">
        <v>97.860000610351506</v>
      </c>
      <c r="Q177">
        <v>18225100</v>
      </c>
      <c r="R177">
        <v>0.1</v>
      </c>
      <c r="S177">
        <v>-8.3096847617379899E-3</v>
      </c>
      <c r="T177">
        <v>2.1345535514511099E-2</v>
      </c>
      <c r="U177">
        <v>99.029000091552703</v>
      </c>
      <c r="V177">
        <v>233.05000305175699</v>
      </c>
      <c r="W177">
        <v>234.55999755859301</v>
      </c>
      <c r="X177">
        <v>226.72999572753901</v>
      </c>
      <c r="Y177">
        <v>229.25</v>
      </c>
      <c r="Z177">
        <v>226.17826843261699</v>
      </c>
      <c r="AA177">
        <v>29743600</v>
      </c>
      <c r="AB177">
        <v>0.1</v>
      </c>
      <c r="AC177">
        <v>-2.1302960109901799E-2</v>
      </c>
      <c r="AD177">
        <v>2.2520572523665999E-2</v>
      </c>
      <c r="AE177">
        <v>239.69800109863201</v>
      </c>
      <c r="AF177">
        <v>160.63000488281199</v>
      </c>
      <c r="AG177">
        <v>161.27999877929599</v>
      </c>
      <c r="AH177">
        <v>159.17999267578099</v>
      </c>
      <c r="AI177">
        <v>160.41000366210901</v>
      </c>
      <c r="AJ177">
        <v>153.52163696289</v>
      </c>
      <c r="AK177">
        <v>5315600</v>
      </c>
      <c r="AL177">
        <v>0.1</v>
      </c>
      <c r="AM177">
        <v>1.3109033574765199E-3</v>
      </c>
      <c r="AN177">
        <v>1.22992938932349E-2</v>
      </c>
      <c r="AO177">
        <v>163.563999938964</v>
      </c>
      <c r="AP177">
        <v>54.599998474121001</v>
      </c>
      <c r="AQ177">
        <v>54.959999084472599</v>
      </c>
      <c r="AR177">
        <v>54.020000457763601</v>
      </c>
      <c r="AS177">
        <v>54.389999389648402</v>
      </c>
      <c r="AT177">
        <v>51.939750671386697</v>
      </c>
      <c r="AU177">
        <v>10239100</v>
      </c>
      <c r="AV177">
        <v>0.1</v>
      </c>
      <c r="AW177">
        <v>-2.2014114030409699E-3</v>
      </c>
      <c r="AX177">
        <v>1.18935125608592E-2</v>
      </c>
      <c r="AY177">
        <v>55.954999923705998</v>
      </c>
      <c r="AZ177">
        <v>3.28500008583068</v>
      </c>
      <c r="BA177">
        <v>3.28500008583068</v>
      </c>
      <c r="BB177">
        <v>3.28500008583068</v>
      </c>
      <c r="BC177">
        <v>3.28500008583068</v>
      </c>
      <c r="BD177">
        <v>3.28500008583068</v>
      </c>
      <c r="BE177">
        <v>0</v>
      </c>
      <c r="BF177">
        <v>0.5</v>
      </c>
      <c r="BG177">
        <v>-2.4293644229810198E-3</v>
      </c>
      <c r="BH177">
        <v>2.53086149639573E-2</v>
      </c>
      <c r="BI177">
        <v>3.25020003318786</v>
      </c>
      <c r="BJ177">
        <f t="shared" si="2"/>
        <v>-4.029433337545075E-3</v>
      </c>
    </row>
    <row r="178" spans="1:62">
      <c r="A178" s="2">
        <v>44845</v>
      </c>
      <c r="B178">
        <v>139.89999389648401</v>
      </c>
      <c r="C178">
        <v>141.350006103515</v>
      </c>
      <c r="D178">
        <v>138.22000122070301</v>
      </c>
      <c r="E178">
        <v>138.97999572753901</v>
      </c>
      <c r="F178">
        <v>137.80276489257801</v>
      </c>
      <c r="G178">
        <v>77033700</v>
      </c>
      <c r="H178">
        <v>0.1</v>
      </c>
      <c r="I178">
        <v>-1.02549669575819E-2</v>
      </c>
      <c r="J178">
        <v>2.0882180617298199E-2</v>
      </c>
      <c r="K178">
        <v>143.03899688720699</v>
      </c>
      <c r="L178">
        <v>97.430000305175696</v>
      </c>
      <c r="M178">
        <v>99.25</v>
      </c>
      <c r="N178">
        <v>96.309997558593693</v>
      </c>
      <c r="O178">
        <v>97.180000305175696</v>
      </c>
      <c r="P178">
        <v>97.180000305175696</v>
      </c>
      <c r="Q178">
        <v>26507100</v>
      </c>
      <c r="R178">
        <v>0.1</v>
      </c>
      <c r="S178">
        <v>-6.9487053028267597E-3</v>
      </c>
      <c r="T178">
        <v>1.7341821556377601E-2</v>
      </c>
      <c r="U178">
        <v>98.997000122070304</v>
      </c>
      <c r="V178">
        <v>227.61999511718699</v>
      </c>
      <c r="W178">
        <v>229.05999755859301</v>
      </c>
      <c r="X178">
        <v>224.11000061035099</v>
      </c>
      <c r="Y178">
        <v>225.41000366210901</v>
      </c>
      <c r="Z178">
        <v>222.38977050781199</v>
      </c>
      <c r="AA178">
        <v>30474000</v>
      </c>
      <c r="AB178">
        <v>0.1</v>
      </c>
      <c r="AC178">
        <v>-1.6750256653830401E-2</v>
      </c>
      <c r="AD178">
        <v>1.9705925143661901E-2</v>
      </c>
      <c r="AE178">
        <v>238.59800109863201</v>
      </c>
      <c r="AF178">
        <v>160.36999511718699</v>
      </c>
      <c r="AG178">
        <v>164.11000061035099</v>
      </c>
      <c r="AH178">
        <v>160.36999511718699</v>
      </c>
      <c r="AI178">
        <v>162.72999572753901</v>
      </c>
      <c r="AJ178">
        <v>155.74198913574199</v>
      </c>
      <c r="AK178">
        <v>6212200</v>
      </c>
      <c r="AL178">
        <v>0.1</v>
      </c>
      <c r="AM178">
        <v>1.4462888925035699E-2</v>
      </c>
      <c r="AN178">
        <v>1.13515971150024E-2</v>
      </c>
      <c r="AO178">
        <v>163.34299926757799</v>
      </c>
      <c r="AP178">
        <v>54.459999084472599</v>
      </c>
      <c r="AQ178">
        <v>55.220001220703097</v>
      </c>
      <c r="AR178">
        <v>54.240001678466797</v>
      </c>
      <c r="AS178">
        <v>54.4799995422363</v>
      </c>
      <c r="AT178">
        <v>52.025699615478501</v>
      </c>
      <c r="AU178">
        <v>14303900</v>
      </c>
      <c r="AV178">
        <v>0.1</v>
      </c>
      <c r="AW178">
        <v>1.6547187644393401E-3</v>
      </c>
      <c r="AX178">
        <v>1.0375412581658699E-2</v>
      </c>
      <c r="AY178">
        <v>55.764999771118099</v>
      </c>
      <c r="AZ178">
        <v>3.2929999828338601</v>
      </c>
      <c r="BA178">
        <v>3.3399999141693102</v>
      </c>
      <c r="BB178">
        <v>3.2829999923706001</v>
      </c>
      <c r="BC178">
        <v>3.3399999141693102</v>
      </c>
      <c r="BD178">
        <v>3.3399999141693102</v>
      </c>
      <c r="BE178">
        <v>0</v>
      </c>
      <c r="BF178">
        <v>0.5</v>
      </c>
      <c r="BG178">
        <v>1.6742717473845901E-2</v>
      </c>
      <c r="BH178">
        <v>2.28925660717966E-2</v>
      </c>
      <c r="BI178">
        <v>3.2592000246047901</v>
      </c>
      <c r="BJ178">
        <f t="shared" si="2"/>
        <v>6.5877266144465478E-3</v>
      </c>
    </row>
    <row r="179" spans="1:62">
      <c r="A179" s="2">
        <v>44846</v>
      </c>
      <c r="B179">
        <v>139.13000488281199</v>
      </c>
      <c r="C179">
        <v>140.36000061035099</v>
      </c>
      <c r="D179">
        <v>138.16000366210901</v>
      </c>
      <c r="E179">
        <v>138.33999633789</v>
      </c>
      <c r="F179">
        <v>137.16818237304599</v>
      </c>
      <c r="G179">
        <v>70433700</v>
      </c>
      <c r="H179">
        <v>0.1</v>
      </c>
      <c r="I179">
        <v>-4.6049748836020001E-3</v>
      </c>
      <c r="J179">
        <v>2.0606014539403202E-2</v>
      </c>
      <c r="K179">
        <v>141.88899688720701</v>
      </c>
      <c r="L179">
        <v>97.300003051757798</v>
      </c>
      <c r="M179">
        <v>98.75</v>
      </c>
      <c r="N179">
        <v>96.739997863769503</v>
      </c>
      <c r="O179">
        <v>97.559997558593693</v>
      </c>
      <c r="P179">
        <v>97.559997558593693</v>
      </c>
      <c r="Q179">
        <v>21876400</v>
      </c>
      <c r="R179">
        <v>0.1</v>
      </c>
      <c r="S179">
        <v>3.9102413276874597E-3</v>
      </c>
      <c r="T179">
        <v>1.7273009444059101E-2</v>
      </c>
      <c r="U179">
        <v>98.747999572753898</v>
      </c>
      <c r="V179">
        <v>225.39999389648401</v>
      </c>
      <c r="W179">
        <v>227.86000061035099</v>
      </c>
      <c r="X179">
        <v>223.96000671386699</v>
      </c>
      <c r="Y179">
        <v>225.75</v>
      </c>
      <c r="Z179">
        <v>222.725173950195</v>
      </c>
      <c r="AA179">
        <v>21903900</v>
      </c>
      <c r="AB179">
        <v>0.1</v>
      </c>
      <c r="AC179">
        <v>1.50834626843043E-3</v>
      </c>
      <c r="AD179">
        <v>1.97163716303113E-2</v>
      </c>
      <c r="AE179">
        <v>237.06600036621001</v>
      </c>
      <c r="AF179">
        <v>162.94000244140599</v>
      </c>
      <c r="AG179">
        <v>164.88000488281199</v>
      </c>
      <c r="AH179">
        <v>162.5</v>
      </c>
      <c r="AI179">
        <v>162.69000244140599</v>
      </c>
      <c r="AJ179">
        <v>155.70372009277301</v>
      </c>
      <c r="AK179">
        <v>4341700</v>
      </c>
      <c r="AL179">
        <v>0.1</v>
      </c>
      <c r="AM179">
        <v>-2.4576468495562899E-4</v>
      </c>
      <c r="AN179">
        <v>1.0313804031918099E-2</v>
      </c>
      <c r="AO179">
        <v>162.97599945068299</v>
      </c>
      <c r="AP179">
        <v>55.2299995422363</v>
      </c>
      <c r="AQ179">
        <v>56.040000915527301</v>
      </c>
      <c r="AR179">
        <v>55.040000915527301</v>
      </c>
      <c r="AS179">
        <v>55.139999389648402</v>
      </c>
      <c r="AT179">
        <v>52.655971527099602</v>
      </c>
      <c r="AU179">
        <v>18377400</v>
      </c>
      <c r="AV179">
        <v>0.1</v>
      </c>
      <c r="AW179">
        <v>1.2114534745919701E-2</v>
      </c>
      <c r="AX179">
        <v>1.0838641701955899E-2</v>
      </c>
      <c r="AY179">
        <v>55.580999755859303</v>
      </c>
      <c r="AZ179">
        <v>3.5250000953674299</v>
      </c>
      <c r="BA179">
        <v>3.5399999618530198</v>
      </c>
      <c r="BB179">
        <v>3.4749999046325599</v>
      </c>
      <c r="BC179">
        <v>3.5329999923706001</v>
      </c>
      <c r="BD179">
        <v>3.5329999923706001</v>
      </c>
      <c r="BE179">
        <v>0</v>
      </c>
      <c r="BF179">
        <v>0.5</v>
      </c>
      <c r="BG179">
        <v>5.7784456036219699E-2</v>
      </c>
      <c r="BH179">
        <v>2.5758602368811199E-2</v>
      </c>
      <c r="BI179">
        <v>3.2895000219344999</v>
      </c>
      <c r="BJ179">
        <f t="shared" si="2"/>
        <v>3.0160466295457846E-2</v>
      </c>
    </row>
    <row r="180" spans="1:62">
      <c r="A180" s="2">
        <v>44847</v>
      </c>
      <c r="B180">
        <v>134.99000549316401</v>
      </c>
      <c r="C180">
        <v>143.58999633789</v>
      </c>
      <c r="D180">
        <v>134.36999511718699</v>
      </c>
      <c r="E180">
        <v>142.99000549316401</v>
      </c>
      <c r="F180">
        <v>141.77882385253901</v>
      </c>
      <c r="G180">
        <v>113224000</v>
      </c>
      <c r="H180">
        <v>0.1</v>
      </c>
      <c r="I180">
        <v>3.36129050048255E-2</v>
      </c>
      <c r="J180">
        <v>2.2107226250117101E-2</v>
      </c>
      <c r="K180">
        <v>141.93999786376901</v>
      </c>
      <c r="L180">
        <v>95.150001525878906</v>
      </c>
      <c r="M180">
        <v>99.779998779296804</v>
      </c>
      <c r="N180">
        <v>94.379997253417898</v>
      </c>
      <c r="O180">
        <v>99.059997558593693</v>
      </c>
      <c r="P180">
        <v>99.059997558593693</v>
      </c>
      <c r="Q180">
        <v>34574500</v>
      </c>
      <c r="R180">
        <v>0.1</v>
      </c>
      <c r="S180">
        <v>1.53751541362956E-2</v>
      </c>
      <c r="T180">
        <v>1.7313812391789501E-2</v>
      </c>
      <c r="U180">
        <v>98.911999511718705</v>
      </c>
      <c r="V180">
        <v>219.850006103515</v>
      </c>
      <c r="W180">
        <v>236.100006103515</v>
      </c>
      <c r="X180">
        <v>219.13000488281199</v>
      </c>
      <c r="Y180">
        <v>234.24000549316401</v>
      </c>
      <c r="Z180">
        <v>231.10144042968699</v>
      </c>
      <c r="AA180">
        <v>42551800</v>
      </c>
      <c r="AB180">
        <v>0.1</v>
      </c>
      <c r="AC180">
        <v>3.7607997754879503E-2</v>
      </c>
      <c r="AD180">
        <v>2.1209575388314701E-2</v>
      </c>
      <c r="AE180">
        <v>236.74000091552699</v>
      </c>
      <c r="AF180">
        <v>160.88999938964801</v>
      </c>
      <c r="AG180">
        <v>165.99000549316401</v>
      </c>
      <c r="AH180">
        <v>160.75</v>
      </c>
      <c r="AI180">
        <v>165.14999389648401</v>
      </c>
      <c r="AJ180">
        <v>158.05805969238199</v>
      </c>
      <c r="AK180">
        <v>6465100</v>
      </c>
      <c r="AL180">
        <v>0.1</v>
      </c>
      <c r="AM180">
        <v>1.5120729105429101E-2</v>
      </c>
      <c r="AN180">
        <v>1.08802172570316E-2</v>
      </c>
      <c r="AO180">
        <v>163.03799896240201</v>
      </c>
      <c r="AP180">
        <v>54.4799995422363</v>
      </c>
      <c r="AQ180">
        <v>56.080001831054602</v>
      </c>
      <c r="AR180">
        <v>54.259998321533203</v>
      </c>
      <c r="AS180">
        <v>55.869998931884702</v>
      </c>
      <c r="AT180">
        <v>53.353080749511697</v>
      </c>
      <c r="AU180">
        <v>16220700</v>
      </c>
      <c r="AV180">
        <v>0.1</v>
      </c>
      <c r="AW180">
        <v>1.3239019773608701E-2</v>
      </c>
      <c r="AX180">
        <v>1.0874255081462199E-2</v>
      </c>
      <c r="AY180">
        <v>55.510999679565401</v>
      </c>
      <c r="AZ180">
        <v>3.5150001049041699</v>
      </c>
      <c r="BA180">
        <v>3.6029999256134002</v>
      </c>
      <c r="BB180">
        <v>3.4849998950958199</v>
      </c>
      <c r="BC180">
        <v>3.5829999446868799</v>
      </c>
      <c r="BD180">
        <v>3.5829999446868799</v>
      </c>
      <c r="BE180">
        <v>0</v>
      </c>
      <c r="BF180">
        <v>0.5</v>
      </c>
      <c r="BG180">
        <v>1.4152265050737901E-2</v>
      </c>
      <c r="BH180">
        <v>2.5493309687967199E-2</v>
      </c>
      <c r="BI180">
        <v>3.3260000228881799</v>
      </c>
      <c r="BJ180">
        <f t="shared" si="2"/>
        <v>1.857171310287279E-2</v>
      </c>
    </row>
    <row r="181" spans="1:62">
      <c r="A181" s="2">
        <v>44848</v>
      </c>
      <c r="B181">
        <v>144.30999755859301</v>
      </c>
      <c r="C181">
        <v>144.52000427246</v>
      </c>
      <c r="D181">
        <v>138.19000244140599</v>
      </c>
      <c r="E181">
        <v>138.38000488281199</v>
      </c>
      <c r="F181">
        <v>137.20785522460901</v>
      </c>
      <c r="G181">
        <v>88598000</v>
      </c>
      <c r="H181">
        <v>0.1</v>
      </c>
      <c r="I181">
        <v>-3.2240019814335497E-2</v>
      </c>
      <c r="J181">
        <v>2.3007382061482499E-2</v>
      </c>
      <c r="K181">
        <v>141.957998657226</v>
      </c>
      <c r="L181">
        <v>99.989997863769503</v>
      </c>
      <c r="M181">
        <v>100.69000244140599</v>
      </c>
      <c r="N181">
        <v>96.370002746582003</v>
      </c>
      <c r="O181">
        <v>96.559997558593693</v>
      </c>
      <c r="P181">
        <v>96.559997558593693</v>
      </c>
      <c r="Q181">
        <v>25410700</v>
      </c>
      <c r="R181">
        <v>0.1</v>
      </c>
      <c r="S181">
        <v>-2.5237230583629401E-2</v>
      </c>
      <c r="T181">
        <v>1.8088897077842E-2</v>
      </c>
      <c r="U181">
        <v>99.002999114990203</v>
      </c>
      <c r="V181">
        <v>235.53999328613199</v>
      </c>
      <c r="W181">
        <v>237.24000549316401</v>
      </c>
      <c r="X181">
        <v>228.33999633789</v>
      </c>
      <c r="Y181">
        <v>228.55999755859301</v>
      </c>
      <c r="Z181">
        <v>225.49751281738199</v>
      </c>
      <c r="AA181">
        <v>30198600</v>
      </c>
      <c r="AB181">
        <v>0.1</v>
      </c>
      <c r="AC181">
        <v>-2.4248667184803601E-2</v>
      </c>
      <c r="AD181">
        <v>2.17808202361967E-2</v>
      </c>
      <c r="AE181">
        <v>236.30600128173799</v>
      </c>
      <c r="AF181">
        <v>164.44000244140599</v>
      </c>
      <c r="AG181">
        <v>165.67999267578099</v>
      </c>
      <c r="AH181">
        <v>163.600006103515</v>
      </c>
      <c r="AI181">
        <v>164.46000671386699</v>
      </c>
      <c r="AJ181">
        <v>157.397705078125</v>
      </c>
      <c r="AK181">
        <v>5684600</v>
      </c>
      <c r="AL181">
        <v>0.1</v>
      </c>
      <c r="AM181">
        <v>-4.1779425256877004E-3</v>
      </c>
      <c r="AN181">
        <v>1.0305165247296799E-2</v>
      </c>
      <c r="AO181">
        <v>163.14799957275301</v>
      </c>
      <c r="AP181">
        <v>56.290000915527301</v>
      </c>
      <c r="AQ181">
        <v>56.470001220703097</v>
      </c>
      <c r="AR181">
        <v>54.939998626708899</v>
      </c>
      <c r="AS181">
        <v>54.9799995422363</v>
      </c>
      <c r="AT181">
        <v>52.503170013427699</v>
      </c>
      <c r="AU181">
        <v>15997900</v>
      </c>
      <c r="AV181">
        <v>0.1</v>
      </c>
      <c r="AW181">
        <v>-1.5929826501938901E-2</v>
      </c>
      <c r="AX181">
        <v>1.12093633042777E-2</v>
      </c>
      <c r="AY181">
        <v>55.406999588012603</v>
      </c>
      <c r="AZ181">
        <v>3.6029999256134002</v>
      </c>
      <c r="BA181">
        <v>3.6400001049041699</v>
      </c>
      <c r="BB181">
        <v>3.5799999237060498</v>
      </c>
      <c r="BC181">
        <v>3.6280000209808301</v>
      </c>
      <c r="BD181">
        <v>3.6280000209808301</v>
      </c>
      <c r="BE181">
        <v>0</v>
      </c>
      <c r="BF181">
        <v>0.5</v>
      </c>
      <c r="BG181">
        <v>1.25593293297909E-2</v>
      </c>
      <c r="BH181">
        <v>2.52397020897926E-2</v>
      </c>
      <c r="BI181">
        <v>3.3708000183105402</v>
      </c>
      <c r="BJ181">
        <f t="shared" si="2"/>
        <v>-3.9037039961440593E-3</v>
      </c>
    </row>
    <row r="182" spans="1:62">
      <c r="A182" s="2">
        <v>44851</v>
      </c>
      <c r="B182">
        <v>141.07000732421801</v>
      </c>
      <c r="C182">
        <v>142.89999389648401</v>
      </c>
      <c r="D182">
        <v>140.27000427246</v>
      </c>
      <c r="E182">
        <v>142.41000366210901</v>
      </c>
      <c r="F182">
        <v>141.20370483398401</v>
      </c>
      <c r="G182">
        <v>85250900</v>
      </c>
      <c r="H182">
        <v>0.1</v>
      </c>
      <c r="I182">
        <v>2.9122695744299799E-2</v>
      </c>
      <c r="J182">
        <v>2.3292140347445599E-2</v>
      </c>
      <c r="K182">
        <v>141.95399932861301</v>
      </c>
      <c r="L182">
        <v>98.860000610351506</v>
      </c>
      <c r="M182">
        <v>100.930000305175</v>
      </c>
      <c r="N182">
        <v>98.830001831054602</v>
      </c>
      <c r="O182">
        <v>99.970001220703097</v>
      </c>
      <c r="P182">
        <v>99.970001220703097</v>
      </c>
      <c r="Q182">
        <v>28419200</v>
      </c>
      <c r="R182">
        <v>0.1</v>
      </c>
      <c r="S182">
        <v>3.5314868976049102E-2</v>
      </c>
      <c r="T182">
        <v>1.9997394492470202E-2</v>
      </c>
      <c r="U182">
        <v>99.135999298095697</v>
      </c>
      <c r="V182">
        <v>235.82000732421801</v>
      </c>
      <c r="W182">
        <v>238.96000671386699</v>
      </c>
      <c r="X182">
        <v>235.13999938964801</v>
      </c>
      <c r="Y182">
        <v>237.52999877929599</v>
      </c>
      <c r="Z182">
        <v>234.34733581542901</v>
      </c>
      <c r="AA182">
        <v>28142300</v>
      </c>
      <c r="AB182">
        <v>0.1</v>
      </c>
      <c r="AC182">
        <v>3.9245718045668003E-2</v>
      </c>
      <c r="AD182">
        <v>2.3762566517624002E-2</v>
      </c>
      <c r="AE182">
        <v>235.98500061035099</v>
      </c>
      <c r="AF182">
        <v>165.39999389648401</v>
      </c>
      <c r="AG182">
        <v>167.21000671386699</v>
      </c>
      <c r="AH182">
        <v>165.009994506835</v>
      </c>
      <c r="AI182">
        <v>166.58999633789</v>
      </c>
      <c r="AJ182">
        <v>159.43623352050699</v>
      </c>
      <c r="AK182">
        <v>6710800</v>
      </c>
      <c r="AL182">
        <v>0.1</v>
      </c>
      <c r="AM182">
        <v>1.2951413943021701E-2</v>
      </c>
      <c r="AN182">
        <v>1.06103886060757E-2</v>
      </c>
      <c r="AO182">
        <v>163.48699951171801</v>
      </c>
      <c r="AP182">
        <v>55.630001068115199</v>
      </c>
      <c r="AQ182">
        <v>56.220001220703097</v>
      </c>
      <c r="AR182">
        <v>55.569999694824197</v>
      </c>
      <c r="AS182">
        <v>55.689998626708899</v>
      </c>
      <c r="AT182">
        <v>53.181186676025298</v>
      </c>
      <c r="AU182">
        <v>13721400</v>
      </c>
      <c r="AV182">
        <v>0.1</v>
      </c>
      <c r="AW182">
        <v>1.29137702870882E-2</v>
      </c>
      <c r="AX182">
        <v>1.15565034482497E-2</v>
      </c>
      <c r="AY182">
        <v>55.310999298095702</v>
      </c>
      <c r="AZ182">
        <v>3.5999999046325599</v>
      </c>
      <c r="BA182">
        <v>3.6879999637603702</v>
      </c>
      <c r="BB182">
        <v>3.5950000286102202</v>
      </c>
      <c r="BC182">
        <v>3.6879999637603702</v>
      </c>
      <c r="BD182">
        <v>3.6879999637603702</v>
      </c>
      <c r="BE182">
        <v>0</v>
      </c>
      <c r="BF182">
        <v>0.5</v>
      </c>
      <c r="BG182">
        <v>1.65380216186767E-2</v>
      </c>
      <c r="BH182">
        <v>2.4839820433521901E-2</v>
      </c>
      <c r="BI182">
        <v>3.42460000514984</v>
      </c>
      <c r="BJ182">
        <f t="shared" si="2"/>
        <v>2.1223857508951033E-2</v>
      </c>
    </row>
    <row r="183" spans="1:62">
      <c r="A183" s="2">
        <v>44852</v>
      </c>
      <c r="B183">
        <v>145.49000549316401</v>
      </c>
      <c r="C183">
        <v>146.69999694824199</v>
      </c>
      <c r="D183">
        <v>140.61000061035099</v>
      </c>
      <c r="E183">
        <v>143.75</v>
      </c>
      <c r="F183">
        <v>142.53234863281199</v>
      </c>
      <c r="G183">
        <v>99136600</v>
      </c>
      <c r="H183">
        <v>0.1</v>
      </c>
      <c r="I183">
        <v>9.4094256262360308E-3</v>
      </c>
      <c r="J183">
        <v>2.3057793697987199E-2</v>
      </c>
      <c r="K183">
        <v>141.71899871826099</v>
      </c>
      <c r="L183">
        <v>103.129997253417</v>
      </c>
      <c r="M183">
        <v>103.470001220703</v>
      </c>
      <c r="N183">
        <v>99.970001220703097</v>
      </c>
      <c r="O183">
        <v>100.76999664306599</v>
      </c>
      <c r="P183">
        <v>100.76999664306599</v>
      </c>
      <c r="Q183">
        <v>24060700</v>
      </c>
      <c r="R183">
        <v>0.1</v>
      </c>
      <c r="S183">
        <v>8.0023548323975204E-3</v>
      </c>
      <c r="T183">
        <v>1.9664511488671901E-2</v>
      </c>
      <c r="U183">
        <v>99.048999023437503</v>
      </c>
      <c r="V183">
        <v>243.24000549316401</v>
      </c>
      <c r="W183">
        <v>243.92999267578099</v>
      </c>
      <c r="X183">
        <v>235.36999511718699</v>
      </c>
      <c r="Y183">
        <v>238.5</v>
      </c>
      <c r="Z183">
        <v>235.30433654785099</v>
      </c>
      <c r="AA183">
        <v>26329600</v>
      </c>
      <c r="AB183">
        <v>0.1</v>
      </c>
      <c r="AC183">
        <v>4.0836998513371602E-3</v>
      </c>
      <c r="AD183">
        <v>2.3725757528133901E-2</v>
      </c>
      <c r="AE183">
        <v>234.94700012206999</v>
      </c>
      <c r="AF183">
        <v>165</v>
      </c>
      <c r="AG183">
        <v>167.169998168945</v>
      </c>
      <c r="AH183">
        <v>163.05000305175699</v>
      </c>
      <c r="AI183">
        <v>166.009994506835</v>
      </c>
      <c r="AJ183">
        <v>158.88113403320301</v>
      </c>
      <c r="AK183">
        <v>10883600</v>
      </c>
      <c r="AL183">
        <v>0.1</v>
      </c>
      <c r="AM183">
        <v>-3.4816126046265301E-3</v>
      </c>
      <c r="AN183">
        <v>1.0480122181452899E-2</v>
      </c>
      <c r="AO183">
        <v>163.525999450683</v>
      </c>
      <c r="AP183">
        <v>56.310001373291001</v>
      </c>
      <c r="AQ183">
        <v>56.779998779296797</v>
      </c>
      <c r="AR183">
        <v>56.099998474121001</v>
      </c>
      <c r="AS183">
        <v>56.439998626708899</v>
      </c>
      <c r="AT183">
        <v>53.897403717041001</v>
      </c>
      <c r="AU183">
        <v>11823100</v>
      </c>
      <c r="AV183">
        <v>0.1</v>
      </c>
      <c r="AW183">
        <v>1.3467409202633601E-2</v>
      </c>
      <c r="AX183">
        <v>1.21712211418447E-2</v>
      </c>
      <c r="AY183">
        <v>55.276999282836897</v>
      </c>
      <c r="AZ183">
        <v>3.8150000572204501</v>
      </c>
      <c r="BA183">
        <v>3.83500003814697</v>
      </c>
      <c r="BB183">
        <v>3.75500011444091</v>
      </c>
      <c r="BC183">
        <v>3.8329999446868799</v>
      </c>
      <c r="BD183">
        <v>3.8329999446868799</v>
      </c>
      <c r="BE183">
        <v>0</v>
      </c>
      <c r="BF183">
        <v>0.5</v>
      </c>
      <c r="BG183">
        <v>3.9316698034527198E-2</v>
      </c>
      <c r="BH183">
        <v>2.19069558814152E-2</v>
      </c>
      <c r="BI183">
        <v>3.47639999389648</v>
      </c>
      <c r="BJ183">
        <f t="shared" si="2"/>
        <v>2.2806476708061379E-2</v>
      </c>
    </row>
    <row r="184" spans="1:62">
      <c r="A184" s="2">
        <v>44853</v>
      </c>
      <c r="B184">
        <v>141.69000244140599</v>
      </c>
      <c r="C184">
        <v>144.94999694824199</v>
      </c>
      <c r="D184">
        <v>141.5</v>
      </c>
      <c r="E184">
        <v>143.86000061035099</v>
      </c>
      <c r="F184">
        <v>142.64140319824199</v>
      </c>
      <c r="G184">
        <v>61758300</v>
      </c>
      <c r="H184">
        <v>0.1</v>
      </c>
      <c r="I184">
        <v>7.65221637228252E-4</v>
      </c>
      <c r="J184">
        <v>2.2759949627181801E-2</v>
      </c>
      <c r="K184">
        <v>141.464999389648</v>
      </c>
      <c r="L184">
        <v>100.01000213623</v>
      </c>
      <c r="M184">
        <v>101.01999664306599</v>
      </c>
      <c r="N184">
        <v>98.919998168945298</v>
      </c>
      <c r="O184">
        <v>99.629997253417898</v>
      </c>
      <c r="P184">
        <v>99.629997253417898</v>
      </c>
      <c r="Q184">
        <v>23811100</v>
      </c>
      <c r="R184">
        <v>0.1</v>
      </c>
      <c r="S184">
        <v>-1.13128850612785E-2</v>
      </c>
      <c r="T184">
        <v>1.9377747471633702E-2</v>
      </c>
      <c r="U184">
        <v>98.868998718261693</v>
      </c>
      <c r="V184">
        <v>237.03999328613199</v>
      </c>
      <c r="W184">
        <v>239.61000061035099</v>
      </c>
      <c r="X184">
        <v>234.28999328613199</v>
      </c>
      <c r="Y184">
        <v>236.47999572753901</v>
      </c>
      <c r="Z184">
        <v>233.31140136718699</v>
      </c>
      <c r="AA184">
        <v>19985700</v>
      </c>
      <c r="AB184">
        <v>0.1</v>
      </c>
      <c r="AC184">
        <v>-8.4696195910312008E-3</v>
      </c>
      <c r="AD184">
        <v>2.3579080252582599E-2</v>
      </c>
      <c r="AE184">
        <v>233.67500000000001</v>
      </c>
      <c r="AF184">
        <v>166</v>
      </c>
      <c r="AG184">
        <v>166.25</v>
      </c>
      <c r="AH184">
        <v>163.88999938964801</v>
      </c>
      <c r="AI184">
        <v>164.69000244140599</v>
      </c>
      <c r="AJ184">
        <v>157.61782836914</v>
      </c>
      <c r="AK184">
        <v>10044600</v>
      </c>
      <c r="AL184">
        <v>0.1</v>
      </c>
      <c r="AM184">
        <v>-7.9512807006046904E-3</v>
      </c>
      <c r="AN184">
        <v>1.03698967219967E-2</v>
      </c>
      <c r="AO184">
        <v>163.48399963378901</v>
      </c>
      <c r="AP184">
        <v>56.310001373291001</v>
      </c>
      <c r="AQ184">
        <v>56.540000915527301</v>
      </c>
      <c r="AR184">
        <v>55.7299995422363</v>
      </c>
      <c r="AS184">
        <v>55.959999084472599</v>
      </c>
      <c r="AT184">
        <v>53.4390258789062</v>
      </c>
      <c r="AU184">
        <v>10182300</v>
      </c>
      <c r="AV184">
        <v>0.1</v>
      </c>
      <c r="AW184">
        <v>-8.5045987582498192E-3</v>
      </c>
      <c r="AX184">
        <v>1.2174978006382099E-2</v>
      </c>
      <c r="AY184">
        <v>55.248999023437499</v>
      </c>
      <c r="AZ184">
        <v>3.83500003814697</v>
      </c>
      <c r="BA184">
        <v>3.91000008583068</v>
      </c>
      <c r="BB184">
        <v>3.8129999637603702</v>
      </c>
      <c r="BC184">
        <v>3.8929998874664302</v>
      </c>
      <c r="BD184">
        <v>3.8929998874664302</v>
      </c>
      <c r="BE184">
        <v>0</v>
      </c>
      <c r="BF184">
        <v>0.5</v>
      </c>
      <c r="BG184">
        <v>1.5653520387525599E-2</v>
      </c>
      <c r="BH184">
        <v>2.11433556078462E-2</v>
      </c>
      <c r="BI184">
        <v>3.5363999843597398</v>
      </c>
      <c r="BJ184">
        <f t="shared" si="2"/>
        <v>4.2794439463692043E-3</v>
      </c>
    </row>
    <row r="185" spans="1:62">
      <c r="A185" s="2">
        <v>44854</v>
      </c>
      <c r="B185">
        <v>143.02000427246</v>
      </c>
      <c r="C185">
        <v>145.88999938964801</v>
      </c>
      <c r="D185">
        <v>142.64999389648401</v>
      </c>
      <c r="E185">
        <v>143.38999938964801</v>
      </c>
      <c r="F185">
        <v>142.17539978027301</v>
      </c>
      <c r="G185">
        <v>64522000</v>
      </c>
      <c r="H185">
        <v>0.1</v>
      </c>
      <c r="I185">
        <v>-3.2670736737735401E-3</v>
      </c>
      <c r="J185">
        <v>2.2746740737320099E-2</v>
      </c>
      <c r="K185">
        <v>141.26100006103499</v>
      </c>
      <c r="L185">
        <v>100</v>
      </c>
      <c r="M185">
        <v>102.31999969482401</v>
      </c>
      <c r="N185">
        <v>99.389999389648395</v>
      </c>
      <c r="O185">
        <v>99.970001220703097</v>
      </c>
      <c r="P185">
        <v>99.970001220703097</v>
      </c>
      <c r="Q185">
        <v>25323200</v>
      </c>
      <c r="R185">
        <v>0.1</v>
      </c>
      <c r="S185">
        <v>3.4126666331257801E-3</v>
      </c>
      <c r="T185">
        <v>1.9294650817923399E-2</v>
      </c>
      <c r="U185">
        <v>98.7239990234375</v>
      </c>
      <c r="V185">
        <v>235.77000427246</v>
      </c>
      <c r="W185">
        <v>241.30999755859301</v>
      </c>
      <c r="X185">
        <v>234.86999511718699</v>
      </c>
      <c r="Y185">
        <v>236.14999389648401</v>
      </c>
      <c r="Z185">
        <v>232.98583984375</v>
      </c>
      <c r="AA185">
        <v>21811000</v>
      </c>
      <c r="AB185">
        <v>0.1</v>
      </c>
      <c r="AC185">
        <v>-1.39547461526046E-3</v>
      </c>
      <c r="AD185">
        <v>2.3489429640456701E-2</v>
      </c>
      <c r="AE185">
        <v>232.61100006103501</v>
      </c>
      <c r="AF185">
        <v>165</v>
      </c>
      <c r="AG185">
        <v>165.74000549316401</v>
      </c>
      <c r="AH185">
        <v>164.33000183105401</v>
      </c>
      <c r="AI185">
        <v>165.11000061035099</v>
      </c>
      <c r="AJ185">
        <v>158.01979064941401</v>
      </c>
      <c r="AK185">
        <v>5659900</v>
      </c>
      <c r="AL185">
        <v>0.1</v>
      </c>
      <c r="AM185">
        <v>2.5502347605752501E-3</v>
      </c>
      <c r="AN185">
        <v>9.5622073385494104E-3</v>
      </c>
      <c r="AO185">
        <v>163.803999328613</v>
      </c>
      <c r="AP185">
        <v>55.770000457763601</v>
      </c>
      <c r="AQ185">
        <v>55.919998168945298</v>
      </c>
      <c r="AR185">
        <v>54.959999084472599</v>
      </c>
      <c r="AS185">
        <v>55.080001831054602</v>
      </c>
      <c r="AT185">
        <v>52.598674774169901</v>
      </c>
      <c r="AU185">
        <v>16905100</v>
      </c>
      <c r="AV185">
        <v>0.1</v>
      </c>
      <c r="AW185">
        <v>-1.5725469403414301E-2</v>
      </c>
      <c r="AX185">
        <v>1.25056325465432E-2</v>
      </c>
      <c r="AY185">
        <v>55.253999328613197</v>
      </c>
      <c r="AZ185">
        <v>3.8949999809265101</v>
      </c>
      <c r="BA185">
        <v>3.9030001163482599</v>
      </c>
      <c r="BB185">
        <v>3.8550000190734801</v>
      </c>
      <c r="BC185">
        <v>3.8900001049041699</v>
      </c>
      <c r="BD185">
        <v>3.8900001049041699</v>
      </c>
      <c r="BE185">
        <v>0</v>
      </c>
      <c r="BF185">
        <v>0.5</v>
      </c>
      <c r="BG185">
        <v>-7.7055809118142804E-4</v>
      </c>
      <c r="BH185">
        <v>2.02039638007642E-2</v>
      </c>
      <c r="BI185">
        <v>3.596599984169</v>
      </c>
      <c r="BJ185">
        <f t="shared" si="2"/>
        <v>-1.8277906754654409E-3</v>
      </c>
    </row>
    <row r="186" spans="1:62">
      <c r="A186" s="2">
        <v>44855</v>
      </c>
      <c r="B186">
        <v>142.86999511718699</v>
      </c>
      <c r="C186">
        <v>147.850006103515</v>
      </c>
      <c r="D186">
        <v>142.64999389648401</v>
      </c>
      <c r="E186">
        <v>147.27000427246</v>
      </c>
      <c r="F186">
        <v>146.02255249023401</v>
      </c>
      <c r="G186">
        <v>86548600</v>
      </c>
      <c r="H186">
        <v>0.1</v>
      </c>
      <c r="I186">
        <v>2.70591038379808E-2</v>
      </c>
      <c r="J186">
        <v>2.3497534534518302E-2</v>
      </c>
      <c r="K186">
        <v>141.979000854492</v>
      </c>
      <c r="L186">
        <v>97.849998474121094</v>
      </c>
      <c r="M186">
        <v>101.309997558593</v>
      </c>
      <c r="N186">
        <v>97.720001220703097</v>
      </c>
      <c r="O186">
        <v>101.129997253417</v>
      </c>
      <c r="P186">
        <v>101.129997253417</v>
      </c>
      <c r="Q186">
        <v>32458700</v>
      </c>
      <c r="R186">
        <v>0.1</v>
      </c>
      <c r="S186">
        <v>1.16034412178702E-2</v>
      </c>
      <c r="T186">
        <v>1.9160256621233499E-2</v>
      </c>
      <c r="U186">
        <v>98.968998718261702</v>
      </c>
      <c r="V186">
        <v>234.74000549316401</v>
      </c>
      <c r="W186">
        <v>243</v>
      </c>
      <c r="X186">
        <v>234.5</v>
      </c>
      <c r="Y186">
        <v>242.11999511718699</v>
      </c>
      <c r="Z186">
        <v>238.87583923339801</v>
      </c>
      <c r="AA186">
        <v>26299700</v>
      </c>
      <c r="AB186">
        <v>0.1</v>
      </c>
      <c r="AC186">
        <v>2.5280547850956299E-2</v>
      </c>
      <c r="AD186">
        <v>2.4002236017289201E-2</v>
      </c>
      <c r="AE186">
        <v>233.398999023437</v>
      </c>
      <c r="AF186">
        <v>164.71000671386699</v>
      </c>
      <c r="AG186">
        <v>169.36999511718699</v>
      </c>
      <c r="AH186">
        <v>164.42999267578099</v>
      </c>
      <c r="AI186">
        <v>168.71000671386699</v>
      </c>
      <c r="AJ186">
        <v>161.46520996093699</v>
      </c>
      <c r="AK186">
        <v>8487600</v>
      </c>
      <c r="AL186">
        <v>0.1</v>
      </c>
      <c r="AM186">
        <v>2.1803682939904999E-2</v>
      </c>
      <c r="AN186">
        <v>1.0749005929173E-2</v>
      </c>
      <c r="AO186">
        <v>164.65500030517501</v>
      </c>
      <c r="AP186">
        <v>55</v>
      </c>
      <c r="AQ186">
        <v>56.110000610351499</v>
      </c>
      <c r="AR186">
        <v>54.990001678466797</v>
      </c>
      <c r="AS186">
        <v>55.959999084472599</v>
      </c>
      <c r="AT186">
        <v>53.4390258789062</v>
      </c>
      <c r="AU186">
        <v>15034100</v>
      </c>
      <c r="AV186">
        <v>0.1</v>
      </c>
      <c r="AW186">
        <v>1.5976710678353899E-2</v>
      </c>
      <c r="AX186">
        <v>1.30984370024301E-2</v>
      </c>
      <c r="AY186">
        <v>55.398999404907201</v>
      </c>
      <c r="AZ186">
        <v>3.8980000019073402</v>
      </c>
      <c r="BA186">
        <v>3.9000000953674299</v>
      </c>
      <c r="BB186">
        <v>3.8450000286102202</v>
      </c>
      <c r="BC186">
        <v>3.8849999904632502</v>
      </c>
      <c r="BD186">
        <v>3.8849999904632502</v>
      </c>
      <c r="BE186">
        <v>0</v>
      </c>
      <c r="BF186">
        <v>0.5</v>
      </c>
      <c r="BG186">
        <v>-1.28537642829729E-3</v>
      </c>
      <c r="BH186">
        <v>1.9971951149511301E-2</v>
      </c>
      <c r="BI186">
        <v>3.65579998493194</v>
      </c>
      <c r="BJ186">
        <f t="shared" si="2"/>
        <v>9.5296604383579755E-3</v>
      </c>
    </row>
    <row r="187" spans="1:62">
      <c r="A187" s="2">
        <v>44858</v>
      </c>
      <c r="B187">
        <v>147.19000244140599</v>
      </c>
      <c r="C187">
        <v>150.22999572753901</v>
      </c>
      <c r="D187">
        <v>146</v>
      </c>
      <c r="E187">
        <v>149.44999694824199</v>
      </c>
      <c r="F187">
        <v>148.18406677246</v>
      </c>
      <c r="G187">
        <v>75981900</v>
      </c>
      <c r="H187">
        <v>0.1</v>
      </c>
      <c r="I187">
        <v>1.4802693097964999E-2</v>
      </c>
      <c r="J187">
        <v>2.3749445981371301E-2</v>
      </c>
      <c r="K187">
        <v>142.88200073242101</v>
      </c>
      <c r="L187">
        <v>101.800003051757</v>
      </c>
      <c r="M187">
        <v>102.75</v>
      </c>
      <c r="N187">
        <v>99.980003356933594</v>
      </c>
      <c r="O187">
        <v>102.51999664306599</v>
      </c>
      <c r="P187">
        <v>102.51999664306599</v>
      </c>
      <c r="Q187">
        <v>27176400</v>
      </c>
      <c r="R187">
        <v>0.1</v>
      </c>
      <c r="S187">
        <v>1.3744679396809199E-2</v>
      </c>
      <c r="T187">
        <v>1.92740001696667E-2</v>
      </c>
      <c r="U187">
        <v>99.4349983215332</v>
      </c>
      <c r="V187">
        <v>243.759994506835</v>
      </c>
      <c r="W187">
        <v>247.83999633789</v>
      </c>
      <c r="X187">
        <v>241.30000305175699</v>
      </c>
      <c r="Y187">
        <v>247.25</v>
      </c>
      <c r="Z187">
        <v>243.93711853027301</v>
      </c>
      <c r="AA187">
        <v>24911200</v>
      </c>
      <c r="AB187">
        <v>0.1</v>
      </c>
      <c r="AC187">
        <v>2.1187861334333698E-2</v>
      </c>
      <c r="AD187">
        <v>2.43991132180074E-2</v>
      </c>
      <c r="AE187">
        <v>235.19899902343701</v>
      </c>
      <c r="AF187">
        <v>169.80999755859301</v>
      </c>
      <c r="AG187">
        <v>172.08000183105401</v>
      </c>
      <c r="AH187">
        <v>169.25</v>
      </c>
      <c r="AI187">
        <v>170.97999572753901</v>
      </c>
      <c r="AJ187">
        <v>163.63772583007801</v>
      </c>
      <c r="AK187">
        <v>6855500</v>
      </c>
      <c r="AL187">
        <v>0.1</v>
      </c>
      <c r="AM187">
        <v>1.34549755399024E-2</v>
      </c>
      <c r="AN187">
        <v>1.0988889528986599E-2</v>
      </c>
      <c r="AO187">
        <v>165.71199951171801</v>
      </c>
      <c r="AP187">
        <v>56.639999389648402</v>
      </c>
      <c r="AQ187">
        <v>57.7299995422363</v>
      </c>
      <c r="AR187">
        <v>56.569999694824197</v>
      </c>
      <c r="AS187">
        <v>57.569999694824197</v>
      </c>
      <c r="AT187">
        <v>54.976497650146399</v>
      </c>
      <c r="AU187">
        <v>17416700</v>
      </c>
      <c r="AV187">
        <v>0.1</v>
      </c>
      <c r="AW187">
        <v>2.8770561770761201E-2</v>
      </c>
      <c r="AX187">
        <v>1.4564695945231999E-2</v>
      </c>
      <c r="AY187">
        <v>55.716999435424803</v>
      </c>
      <c r="AZ187">
        <v>3.8829998970031698</v>
      </c>
      <c r="BA187">
        <v>3.9130001068115199</v>
      </c>
      <c r="BB187">
        <v>3.8599998950958199</v>
      </c>
      <c r="BC187">
        <v>3.9130001068115199</v>
      </c>
      <c r="BD187">
        <v>3.9130001068115199</v>
      </c>
      <c r="BE187">
        <v>0</v>
      </c>
      <c r="BF187">
        <v>0.5</v>
      </c>
      <c r="BG187">
        <v>7.2072371729729997E-3</v>
      </c>
      <c r="BH187">
        <v>1.9923569538525601E-2</v>
      </c>
      <c r="BI187">
        <v>3.7185999870300201</v>
      </c>
      <c r="BJ187">
        <f t="shared" si="2"/>
        <v>1.279969570046365E-2</v>
      </c>
    </row>
    <row r="188" spans="1:62">
      <c r="A188" s="2">
        <v>44859</v>
      </c>
      <c r="B188">
        <v>150.08999633789</v>
      </c>
      <c r="C188">
        <v>152.49000549316401</v>
      </c>
      <c r="D188">
        <v>149.36000061035099</v>
      </c>
      <c r="E188">
        <v>152.33999633789</v>
      </c>
      <c r="F188">
        <v>151.04959106445301</v>
      </c>
      <c r="G188">
        <v>74732300</v>
      </c>
      <c r="H188">
        <v>0.1</v>
      </c>
      <c r="I188">
        <v>1.9337567404898101E-2</v>
      </c>
      <c r="J188">
        <v>2.41090708002792E-2</v>
      </c>
      <c r="K188">
        <v>144.21800079345701</v>
      </c>
      <c r="L188">
        <v>102.900001525878</v>
      </c>
      <c r="M188">
        <v>104.81999969482401</v>
      </c>
      <c r="N188">
        <v>102.720001220703</v>
      </c>
      <c r="O188">
        <v>104.480003356933</v>
      </c>
      <c r="P188">
        <v>104.480003356933</v>
      </c>
      <c r="Q188">
        <v>40611400</v>
      </c>
      <c r="R188">
        <v>0.1</v>
      </c>
      <c r="S188">
        <v>1.9118286949336701E-2</v>
      </c>
      <c r="T188">
        <v>1.94960255135074E-2</v>
      </c>
      <c r="U188">
        <v>100.164998626708</v>
      </c>
      <c r="V188">
        <v>247.259994506835</v>
      </c>
      <c r="W188">
        <v>251.03999328613199</v>
      </c>
      <c r="X188">
        <v>245.83000183105401</v>
      </c>
      <c r="Y188">
        <v>250.66000366210901</v>
      </c>
      <c r="Z188">
        <v>247.30140686035099</v>
      </c>
      <c r="AA188">
        <v>34775500</v>
      </c>
      <c r="AB188">
        <v>0.1</v>
      </c>
      <c r="AC188">
        <v>1.3791723608126799E-2</v>
      </c>
      <c r="AD188">
        <v>2.4475224505743201E-2</v>
      </c>
      <c r="AE188">
        <v>237.72399902343699</v>
      </c>
      <c r="AF188">
        <v>170.169998168945</v>
      </c>
      <c r="AG188">
        <v>171.11000061035099</v>
      </c>
      <c r="AH188">
        <v>168.52000427246</v>
      </c>
      <c r="AI188">
        <v>170.71000671386699</v>
      </c>
      <c r="AJ188">
        <v>163.37931823730401</v>
      </c>
      <c r="AK188">
        <v>5661900</v>
      </c>
      <c r="AL188">
        <v>0.1</v>
      </c>
      <c r="AM188">
        <v>-1.5790678466393001E-3</v>
      </c>
      <c r="AN188">
        <v>1.0919748785834999E-2</v>
      </c>
      <c r="AO188">
        <v>166.510000610351</v>
      </c>
      <c r="AP188">
        <v>59.040000915527301</v>
      </c>
      <c r="AQ188">
        <v>59.110000610351499</v>
      </c>
      <c r="AR188">
        <v>57.75</v>
      </c>
      <c r="AS188">
        <v>58.950000762939403</v>
      </c>
      <c r="AT188">
        <v>56.294326782226499</v>
      </c>
      <c r="AU188">
        <v>28829900</v>
      </c>
      <c r="AV188">
        <v>0.1</v>
      </c>
      <c r="AW188">
        <v>2.3970836814843601E-2</v>
      </c>
      <c r="AX188">
        <v>1.4205961758215299E-2</v>
      </c>
      <c r="AY188">
        <v>56.163999557495103</v>
      </c>
      <c r="AZ188">
        <v>3.9749999046325599</v>
      </c>
      <c r="BA188">
        <v>3.9749999046325599</v>
      </c>
      <c r="BB188">
        <v>3.9400000572204501</v>
      </c>
      <c r="BC188">
        <v>3.9649999141693102</v>
      </c>
      <c r="BD188">
        <v>3.9649999141693102</v>
      </c>
      <c r="BE188">
        <v>0</v>
      </c>
      <c r="BF188">
        <v>0.5</v>
      </c>
      <c r="BG188">
        <v>1.3288986950772101E-2</v>
      </c>
      <c r="BH188">
        <v>1.95778004161309E-2</v>
      </c>
      <c r="BI188">
        <v>3.7810999870300201</v>
      </c>
      <c r="BJ188">
        <f t="shared" si="2"/>
        <v>1.4108428168442641E-2</v>
      </c>
    </row>
    <row r="189" spans="1:62">
      <c r="A189" s="2">
        <v>44860</v>
      </c>
      <c r="B189">
        <v>150.96000671386699</v>
      </c>
      <c r="C189">
        <v>151.99000549316401</v>
      </c>
      <c r="D189">
        <v>148.03999328613199</v>
      </c>
      <c r="E189">
        <v>149.350006103515</v>
      </c>
      <c r="F189">
        <v>148.08491516113199</v>
      </c>
      <c r="G189">
        <v>88194300</v>
      </c>
      <c r="H189">
        <v>0.1</v>
      </c>
      <c r="I189">
        <v>-1.9627086164182201E-2</v>
      </c>
      <c r="J189">
        <v>2.4358036328326699E-2</v>
      </c>
      <c r="K189">
        <v>145.31900177001901</v>
      </c>
      <c r="L189">
        <v>96.430000305175696</v>
      </c>
      <c r="M189">
        <v>98.309997558593693</v>
      </c>
      <c r="N189">
        <v>94.690002441406193</v>
      </c>
      <c r="O189">
        <v>94.930000305175696</v>
      </c>
      <c r="P189">
        <v>94.930000305175696</v>
      </c>
      <c r="Q189">
        <v>88114100</v>
      </c>
      <c r="R189">
        <v>0.1</v>
      </c>
      <c r="S189">
        <v>-9.14050798709517E-2</v>
      </c>
      <c r="T189">
        <v>2.8152070227597199E-2</v>
      </c>
      <c r="U189">
        <v>99.901998901367193</v>
      </c>
      <c r="V189">
        <v>231.169998168945</v>
      </c>
      <c r="W189">
        <v>238.30000305175699</v>
      </c>
      <c r="X189">
        <v>230.05999755859301</v>
      </c>
      <c r="Y189">
        <v>231.32000732421801</v>
      </c>
      <c r="Z189">
        <v>228.22053527832</v>
      </c>
      <c r="AA189">
        <v>82543200</v>
      </c>
      <c r="AB189">
        <v>0.1</v>
      </c>
      <c r="AC189">
        <v>-7.7156291611489E-2</v>
      </c>
      <c r="AD189">
        <v>3.00000272541327E-2</v>
      </c>
      <c r="AE189">
        <v>238.280999755859</v>
      </c>
      <c r="AF189">
        <v>171.32000732421801</v>
      </c>
      <c r="AG189">
        <v>172.57000732421801</v>
      </c>
      <c r="AH189">
        <v>170.52000427246</v>
      </c>
      <c r="AI189">
        <v>172.21000671386699</v>
      </c>
      <c r="AJ189">
        <v>164.81491088867099</v>
      </c>
      <c r="AK189">
        <v>6123800</v>
      </c>
      <c r="AL189">
        <v>0.1</v>
      </c>
      <c r="AM189">
        <v>8.7868311229943805E-3</v>
      </c>
      <c r="AN189">
        <v>1.0925669327700401E-2</v>
      </c>
      <c r="AO189">
        <v>167.46200103759699</v>
      </c>
      <c r="AP189">
        <v>59.009998321533203</v>
      </c>
      <c r="AQ189">
        <v>59.779998779296797</v>
      </c>
      <c r="AR189">
        <v>58.860000610351499</v>
      </c>
      <c r="AS189">
        <v>59.389999389648402</v>
      </c>
      <c r="AT189">
        <v>56.714508056640597</v>
      </c>
      <c r="AU189">
        <v>15831400</v>
      </c>
      <c r="AV189">
        <v>0.1</v>
      </c>
      <c r="AW189">
        <v>7.4639291096600903E-3</v>
      </c>
      <c r="AX189">
        <v>1.41256011334298E-2</v>
      </c>
      <c r="AY189">
        <v>56.5889995574951</v>
      </c>
      <c r="AZ189">
        <v>3.9630000591278001</v>
      </c>
      <c r="BA189">
        <v>3.9630000591278001</v>
      </c>
      <c r="BB189">
        <v>3.8900001049041699</v>
      </c>
      <c r="BC189">
        <v>3.9300000667571999</v>
      </c>
      <c r="BD189">
        <v>3.9300000667571999</v>
      </c>
      <c r="BE189">
        <v>0</v>
      </c>
      <c r="BF189">
        <v>0.5</v>
      </c>
      <c r="BG189">
        <v>-8.8272000428131197E-3</v>
      </c>
      <c r="BH189">
        <v>1.97038358309937E-2</v>
      </c>
      <c r="BI189">
        <v>3.8207999944686799</v>
      </c>
      <c r="BJ189">
        <f t="shared" si="2"/>
        <v>-2.1607369762803402E-2</v>
      </c>
    </row>
    <row r="190" spans="1:62">
      <c r="A190" s="2">
        <v>44861</v>
      </c>
      <c r="B190">
        <v>148.07000732421801</v>
      </c>
      <c r="C190">
        <v>149.05000305175699</v>
      </c>
      <c r="D190">
        <v>144.13000488281199</v>
      </c>
      <c r="E190">
        <v>144.80000305175699</v>
      </c>
      <c r="F190">
        <v>143.573471069335</v>
      </c>
      <c r="G190">
        <v>109180200</v>
      </c>
      <c r="H190">
        <v>0.1</v>
      </c>
      <c r="I190">
        <v>-3.0465369037910601E-2</v>
      </c>
      <c r="J190">
        <v>2.26722075538098E-2</v>
      </c>
      <c r="K190">
        <v>145.50000152587799</v>
      </c>
      <c r="L190">
        <v>94.519996643066406</v>
      </c>
      <c r="M190">
        <v>95.430000305175696</v>
      </c>
      <c r="N190">
        <v>91.800003051757798</v>
      </c>
      <c r="O190">
        <v>92.220001220703097</v>
      </c>
      <c r="P190">
        <v>92.220001220703097</v>
      </c>
      <c r="Q190">
        <v>60710900</v>
      </c>
      <c r="R190">
        <v>0.1</v>
      </c>
      <c r="S190">
        <v>-2.85473409434393E-2</v>
      </c>
      <c r="T190">
        <v>2.8258052310895801E-2</v>
      </c>
      <c r="U190">
        <v>99.217999267578094</v>
      </c>
      <c r="V190">
        <v>231.03999328613199</v>
      </c>
      <c r="W190">
        <v>233.69000244140599</v>
      </c>
      <c r="X190">
        <v>225.77999877929599</v>
      </c>
      <c r="Y190">
        <v>226.75</v>
      </c>
      <c r="Z190">
        <v>223.71176147460901</v>
      </c>
      <c r="AA190">
        <v>40424600</v>
      </c>
      <c r="AB190">
        <v>0.1</v>
      </c>
      <c r="AC190">
        <v>-1.9756212949679702E-2</v>
      </c>
      <c r="AD190">
        <v>3.0134524256929199E-2</v>
      </c>
      <c r="AE190">
        <v>237.531999206542</v>
      </c>
      <c r="AF190">
        <v>172.350006103515</v>
      </c>
      <c r="AG190">
        <v>173.42999267578099</v>
      </c>
      <c r="AH190">
        <v>171.72000122070301</v>
      </c>
      <c r="AI190">
        <v>172.30999755859301</v>
      </c>
      <c r="AJ190">
        <v>164.91061401367099</v>
      </c>
      <c r="AK190">
        <v>5390900</v>
      </c>
      <c r="AL190">
        <v>0.1</v>
      </c>
      <c r="AM190">
        <v>5.8063318522894004E-4</v>
      </c>
      <c r="AN190">
        <v>1.0511376119099599E-2</v>
      </c>
      <c r="AO190">
        <v>168.178001403808</v>
      </c>
      <c r="AP190">
        <v>59.770000457763601</v>
      </c>
      <c r="AQ190">
        <v>59.840000152587798</v>
      </c>
      <c r="AR190">
        <v>59.380001068115199</v>
      </c>
      <c r="AS190">
        <v>59.529998779296797</v>
      </c>
      <c r="AT190">
        <v>56.848201751708899</v>
      </c>
      <c r="AU190">
        <v>16026100</v>
      </c>
      <c r="AV190">
        <v>0.1</v>
      </c>
      <c r="AW190">
        <v>2.3572889558378602E-3</v>
      </c>
      <c r="AX190">
        <v>1.39527756811418E-2</v>
      </c>
      <c r="AY190">
        <v>56.954999542236301</v>
      </c>
      <c r="AZ190">
        <v>3.9130001068115199</v>
      </c>
      <c r="BA190">
        <v>3.9300000667571999</v>
      </c>
      <c r="BB190">
        <v>3.8829998970031698</v>
      </c>
      <c r="BC190">
        <v>3.9300000667571999</v>
      </c>
      <c r="BD190">
        <v>3.9300000667571999</v>
      </c>
      <c r="BE190">
        <v>0</v>
      </c>
      <c r="BF190">
        <v>0.5</v>
      </c>
      <c r="BG190">
        <v>0</v>
      </c>
      <c r="BH190">
        <v>1.9584523469661701E-2</v>
      </c>
      <c r="BI190">
        <v>3.8555000066757201</v>
      </c>
      <c r="BJ190">
        <f t="shared" si="2"/>
        <v>-7.5831000789962806E-3</v>
      </c>
    </row>
    <row r="191" spans="1:62">
      <c r="A191" s="2">
        <v>44862</v>
      </c>
      <c r="B191">
        <v>148.19999694824199</v>
      </c>
      <c r="C191">
        <v>157.5</v>
      </c>
      <c r="D191">
        <v>147.82000732421801</v>
      </c>
      <c r="E191">
        <v>155.74000549316401</v>
      </c>
      <c r="F191">
        <v>154.42079162597599</v>
      </c>
      <c r="G191">
        <v>164762400</v>
      </c>
      <c r="H191">
        <v>0.1</v>
      </c>
      <c r="I191">
        <v>7.5552501456065596E-2</v>
      </c>
      <c r="J191">
        <v>2.69430286594259E-2</v>
      </c>
      <c r="K191">
        <v>147.236001586914</v>
      </c>
      <c r="L191">
        <v>92.269996643066406</v>
      </c>
      <c r="M191">
        <v>96.550003051757798</v>
      </c>
      <c r="N191">
        <v>92.129997253417898</v>
      </c>
      <c r="O191">
        <v>96.290000915527301</v>
      </c>
      <c r="P191">
        <v>96.290000915527301</v>
      </c>
      <c r="Q191">
        <v>43697300</v>
      </c>
      <c r="R191">
        <v>0.1</v>
      </c>
      <c r="S191">
        <v>4.4133589687163299E-2</v>
      </c>
      <c r="T191">
        <v>2.9813428340696901E-2</v>
      </c>
      <c r="U191">
        <v>99.190999603271393</v>
      </c>
      <c r="V191">
        <v>226.24000549316401</v>
      </c>
      <c r="W191">
        <v>236.600006103515</v>
      </c>
      <c r="X191">
        <v>226.05000305175699</v>
      </c>
      <c r="Y191">
        <v>235.86999511718699</v>
      </c>
      <c r="Z191">
        <v>232.709548950195</v>
      </c>
      <c r="AA191">
        <v>40647700</v>
      </c>
      <c r="AB191">
        <v>0.1</v>
      </c>
      <c r="AC191">
        <v>4.0220485632579801E-2</v>
      </c>
      <c r="AD191">
        <v>3.1239482143928399E-2</v>
      </c>
      <c r="AE191">
        <v>238.26299896240201</v>
      </c>
      <c r="AF191">
        <v>173</v>
      </c>
      <c r="AG191">
        <v>175.38999938964801</v>
      </c>
      <c r="AH191">
        <v>172.58999633789</v>
      </c>
      <c r="AI191">
        <v>174.86999511718699</v>
      </c>
      <c r="AJ191">
        <v>167.36068725585901</v>
      </c>
      <c r="AK191">
        <v>6073900</v>
      </c>
      <c r="AL191">
        <v>0.1</v>
      </c>
      <c r="AM191">
        <v>1.48569299220333E-2</v>
      </c>
      <c r="AN191">
        <v>1.0616289998449199E-2</v>
      </c>
      <c r="AO191">
        <v>169.21900024414001</v>
      </c>
      <c r="AP191">
        <v>59.569999694824197</v>
      </c>
      <c r="AQ191">
        <v>60.909999847412102</v>
      </c>
      <c r="AR191">
        <v>59.470001220703097</v>
      </c>
      <c r="AS191">
        <v>60.759998321533203</v>
      </c>
      <c r="AT191">
        <v>58.022789001464801</v>
      </c>
      <c r="AU191">
        <v>12888900</v>
      </c>
      <c r="AV191">
        <v>0.1</v>
      </c>
      <c r="AW191">
        <v>2.0661843901533802E-2</v>
      </c>
      <c r="AX191">
        <v>1.4187425773382299E-2</v>
      </c>
      <c r="AY191">
        <v>57.532999420166</v>
      </c>
      <c r="AZ191">
        <v>3.9479999542236301</v>
      </c>
      <c r="BA191">
        <v>3.97300004959106</v>
      </c>
      <c r="BB191">
        <v>3.9430000782012899</v>
      </c>
      <c r="BC191">
        <v>3.9700000286102202</v>
      </c>
      <c r="BD191">
        <v>3.9700000286102202</v>
      </c>
      <c r="BE191">
        <v>0</v>
      </c>
      <c r="BF191">
        <v>0.5</v>
      </c>
      <c r="BG191">
        <v>1.01781071688462E-2</v>
      </c>
      <c r="BH191">
        <v>1.8887500009839901E-2</v>
      </c>
      <c r="BI191">
        <v>3.8897000074386598</v>
      </c>
      <c r="BJ191">
        <f t="shared" si="2"/>
        <v>2.4631588644360682E-2</v>
      </c>
    </row>
    <row r="192" spans="1:62">
      <c r="A192" s="2">
        <v>44865</v>
      </c>
      <c r="B192">
        <v>153.16000366210901</v>
      </c>
      <c r="C192">
        <v>154.24000549316401</v>
      </c>
      <c r="D192">
        <v>151.919998168945</v>
      </c>
      <c r="E192">
        <v>153.33999633789</v>
      </c>
      <c r="F192">
        <v>152.04110717773401</v>
      </c>
      <c r="G192">
        <v>97943200</v>
      </c>
      <c r="H192">
        <v>0.1</v>
      </c>
      <c r="I192">
        <v>-1.5410357458724801E-2</v>
      </c>
      <c r="J192">
        <v>2.67172713413916E-2</v>
      </c>
      <c r="K192">
        <v>148.32900085449199</v>
      </c>
      <c r="L192">
        <v>95.419998168945298</v>
      </c>
      <c r="M192">
        <v>96.029998779296804</v>
      </c>
      <c r="N192">
        <v>93.980003356933594</v>
      </c>
      <c r="O192">
        <v>94.510002136230398</v>
      </c>
      <c r="P192">
        <v>94.510002136230398</v>
      </c>
      <c r="Q192">
        <v>31675000</v>
      </c>
      <c r="R192">
        <v>0.1</v>
      </c>
      <c r="S192">
        <v>-1.8485811219987599E-2</v>
      </c>
      <c r="T192">
        <v>2.9204481451323299E-2</v>
      </c>
      <c r="U192">
        <v>98.644999694824193</v>
      </c>
      <c r="V192">
        <v>233.759994506835</v>
      </c>
      <c r="W192">
        <v>234.919998168945</v>
      </c>
      <c r="X192">
        <v>231.14999389648401</v>
      </c>
      <c r="Y192">
        <v>232.13000488281199</v>
      </c>
      <c r="Z192">
        <v>229.01971435546801</v>
      </c>
      <c r="AA192">
        <v>28357300</v>
      </c>
      <c r="AB192">
        <v>0.1</v>
      </c>
      <c r="AC192">
        <v>-1.5856150895822301E-2</v>
      </c>
      <c r="AD192">
        <v>3.0476219740049802E-2</v>
      </c>
      <c r="AE192">
        <v>237.722999572753</v>
      </c>
      <c r="AF192">
        <v>174.52000427246</v>
      </c>
      <c r="AG192">
        <v>175.16000366210901</v>
      </c>
      <c r="AH192">
        <v>173.419998168945</v>
      </c>
      <c r="AI192">
        <v>173.97000122070301</v>
      </c>
      <c r="AJ192">
        <v>166.49935913085901</v>
      </c>
      <c r="AK192">
        <v>7810000</v>
      </c>
      <c r="AL192">
        <v>0.1</v>
      </c>
      <c r="AM192">
        <v>-5.1466456316948597E-3</v>
      </c>
      <c r="AN192">
        <v>1.0748153957949501E-2</v>
      </c>
      <c r="AO192">
        <v>169.95700073242099</v>
      </c>
      <c r="AP192">
        <v>60.509998321533203</v>
      </c>
      <c r="AQ192">
        <v>60.569999694824197</v>
      </c>
      <c r="AR192">
        <v>59.669998168945298</v>
      </c>
      <c r="AS192">
        <v>59.849998474121001</v>
      </c>
      <c r="AT192">
        <v>57.153781890869098</v>
      </c>
      <c r="AU192">
        <v>14016400</v>
      </c>
      <c r="AV192">
        <v>0.1</v>
      </c>
      <c r="AW192">
        <v>-1.49769564277556E-2</v>
      </c>
      <c r="AX192">
        <v>1.47009799985815E-2</v>
      </c>
      <c r="AY192">
        <v>57.948999404907198</v>
      </c>
      <c r="AZ192">
        <v>3.95000004768371</v>
      </c>
      <c r="BA192">
        <v>3.9949998855590798</v>
      </c>
      <c r="BB192">
        <v>3.95000004768371</v>
      </c>
      <c r="BC192">
        <v>3.9749999046325599</v>
      </c>
      <c r="BD192">
        <v>3.9749999046325599</v>
      </c>
      <c r="BE192">
        <v>0</v>
      </c>
      <c r="BF192">
        <v>0.5</v>
      </c>
      <c r="BG192">
        <v>1.25941460612266E-3</v>
      </c>
      <c r="BH192">
        <v>1.8414473384540601E-2</v>
      </c>
      <c r="BI192">
        <v>3.9184000015258702</v>
      </c>
      <c r="BJ192">
        <f t="shared" si="2"/>
        <v>-6.3578848603371863E-3</v>
      </c>
    </row>
    <row r="193" spans="1:62">
      <c r="A193" s="2">
        <v>44866</v>
      </c>
      <c r="B193">
        <v>155.08000183105401</v>
      </c>
      <c r="C193">
        <v>155.44999694824199</v>
      </c>
      <c r="D193">
        <v>149.13000488281199</v>
      </c>
      <c r="E193">
        <v>150.64999389648401</v>
      </c>
      <c r="F193">
        <v>149.37390136718699</v>
      </c>
      <c r="G193">
        <v>80379300</v>
      </c>
      <c r="H193">
        <v>0.1</v>
      </c>
      <c r="I193">
        <v>-1.7542731874590101E-2</v>
      </c>
      <c r="J193">
        <v>2.66239679384426E-2</v>
      </c>
      <c r="K193">
        <v>149.01900024413999</v>
      </c>
      <c r="L193">
        <v>95.449996948242102</v>
      </c>
      <c r="M193">
        <v>96.029998779296804</v>
      </c>
      <c r="N193">
        <v>90.370002746582003</v>
      </c>
      <c r="O193">
        <v>90.470001220703097</v>
      </c>
      <c r="P193">
        <v>90.470001220703097</v>
      </c>
      <c r="Q193">
        <v>47161400</v>
      </c>
      <c r="R193">
        <v>0.1</v>
      </c>
      <c r="S193">
        <v>-4.27468080013787E-2</v>
      </c>
      <c r="T193">
        <v>2.9547595616278701E-2</v>
      </c>
      <c r="U193">
        <v>97.615000152587896</v>
      </c>
      <c r="V193">
        <v>234.600006103515</v>
      </c>
      <c r="W193">
        <v>235.74000549316401</v>
      </c>
      <c r="X193">
        <v>227.33000183105401</v>
      </c>
      <c r="Y193">
        <v>228.169998168945</v>
      </c>
      <c r="Z193">
        <v>225.11274719238199</v>
      </c>
      <c r="AA193">
        <v>30592300</v>
      </c>
      <c r="AB193">
        <v>0.1</v>
      </c>
      <c r="AC193">
        <v>-1.7059434931155599E-2</v>
      </c>
      <c r="AD193">
        <v>2.9492176255958701E-2</v>
      </c>
      <c r="AE193">
        <v>236.68999938964799</v>
      </c>
      <c r="AF193">
        <v>174.05999755859301</v>
      </c>
      <c r="AG193">
        <v>174.63000488281199</v>
      </c>
      <c r="AH193">
        <v>170.419998168945</v>
      </c>
      <c r="AI193">
        <v>173.08999633789</v>
      </c>
      <c r="AJ193">
        <v>165.65711975097599</v>
      </c>
      <c r="AK193">
        <v>6985000</v>
      </c>
      <c r="AL193">
        <v>0.1</v>
      </c>
      <c r="AM193">
        <v>-5.0583714240255402E-3</v>
      </c>
      <c r="AN193">
        <v>1.0538986256753599E-2</v>
      </c>
      <c r="AO193">
        <v>170.665000915527</v>
      </c>
      <c r="AP193">
        <v>60.029998779296797</v>
      </c>
      <c r="AQ193">
        <v>60.290000915527301</v>
      </c>
      <c r="AR193">
        <v>59.369998931884702</v>
      </c>
      <c r="AS193">
        <v>59.639999389648402</v>
      </c>
      <c r="AT193">
        <v>56.953243255615199</v>
      </c>
      <c r="AU193">
        <v>10659500</v>
      </c>
      <c r="AV193">
        <v>0.1</v>
      </c>
      <c r="AW193">
        <v>-3.5087567222488098E-3</v>
      </c>
      <c r="AX193">
        <v>1.47697074362396E-2</v>
      </c>
      <c r="AY193">
        <v>58.268999481201099</v>
      </c>
      <c r="AZ193">
        <v>4.0329999923706001</v>
      </c>
      <c r="BA193">
        <v>4.0549998283386204</v>
      </c>
      <c r="BB193">
        <v>4.0199999809265101</v>
      </c>
      <c r="BC193">
        <v>4.0500001907348597</v>
      </c>
      <c r="BD193">
        <v>4.0500001907348597</v>
      </c>
      <c r="BE193">
        <v>0</v>
      </c>
      <c r="BF193">
        <v>0.5</v>
      </c>
      <c r="BG193">
        <v>1.8867996956399399E-2</v>
      </c>
      <c r="BH193">
        <v>1.58836038059895E-2</v>
      </c>
      <c r="BI193">
        <v>3.9401000261306698</v>
      </c>
      <c r="BJ193">
        <f t="shared" si="2"/>
        <v>8.4238818285982463E-4</v>
      </c>
    </row>
    <row r="194" spans="1:62">
      <c r="A194" s="2">
        <v>44867</v>
      </c>
      <c r="B194">
        <v>148.94999694824199</v>
      </c>
      <c r="C194">
        <v>152.169998168945</v>
      </c>
      <c r="D194">
        <v>145</v>
      </c>
      <c r="E194">
        <v>145.02999877929599</v>
      </c>
      <c r="F194">
        <v>143.801513671875</v>
      </c>
      <c r="G194">
        <v>93604600</v>
      </c>
      <c r="H194">
        <v>0.1</v>
      </c>
      <c r="I194">
        <v>-3.7304980716090397E-2</v>
      </c>
      <c r="J194">
        <v>2.8026990246280199E-2</v>
      </c>
      <c r="K194">
        <v>149.13600006103499</v>
      </c>
      <c r="L194">
        <v>90.940002441406193</v>
      </c>
      <c r="M194">
        <v>91.180000305175696</v>
      </c>
      <c r="N194">
        <v>86.879997253417898</v>
      </c>
      <c r="O194">
        <v>86.970001220703097</v>
      </c>
      <c r="P194">
        <v>86.970001220703097</v>
      </c>
      <c r="Q194">
        <v>57038300</v>
      </c>
      <c r="R194">
        <v>0.1</v>
      </c>
      <c r="S194">
        <v>-3.8686856999832299E-2</v>
      </c>
      <c r="T194">
        <v>3.04523852145724E-2</v>
      </c>
      <c r="U194">
        <v>96.349000549316401</v>
      </c>
      <c r="V194">
        <v>229.46000671386699</v>
      </c>
      <c r="W194">
        <v>231.30000305175699</v>
      </c>
      <c r="X194">
        <v>220.03999328613199</v>
      </c>
      <c r="Y194">
        <v>220.100006103515</v>
      </c>
      <c r="Z194">
        <v>217.15089416503901</v>
      </c>
      <c r="AA194">
        <v>38407000</v>
      </c>
      <c r="AB194">
        <v>0.1</v>
      </c>
      <c r="AC194">
        <v>-3.5368331201257999E-2</v>
      </c>
      <c r="AD194">
        <v>3.0280308168139401E-2</v>
      </c>
      <c r="AE194">
        <v>235.05200042724601</v>
      </c>
      <c r="AF194">
        <v>172.88999938964801</v>
      </c>
      <c r="AG194">
        <v>173.94000244140599</v>
      </c>
      <c r="AH194">
        <v>170.28999328613199</v>
      </c>
      <c r="AI194">
        <v>170.42999267578099</v>
      </c>
      <c r="AJ194">
        <v>163.11134338378901</v>
      </c>
      <c r="AK194">
        <v>6877300</v>
      </c>
      <c r="AL194">
        <v>0.1</v>
      </c>
      <c r="AM194">
        <v>-1.53677492540744E-2</v>
      </c>
      <c r="AN194">
        <v>1.1203932747746099E-2</v>
      </c>
      <c r="AO194">
        <v>171.23899993896401</v>
      </c>
      <c r="AP194">
        <v>59.639999389648402</v>
      </c>
      <c r="AQ194">
        <v>60.2299995422363</v>
      </c>
      <c r="AR194">
        <v>58.770000457763601</v>
      </c>
      <c r="AS194">
        <v>58.810001373291001</v>
      </c>
      <c r="AT194">
        <v>56.160636901855398</v>
      </c>
      <c r="AU194">
        <v>14549200</v>
      </c>
      <c r="AV194">
        <v>0.1</v>
      </c>
      <c r="AW194">
        <v>-1.39168012215218E-2</v>
      </c>
      <c r="AX194">
        <v>1.49905097537039E-2</v>
      </c>
      <c r="AY194">
        <v>58.553999710082998</v>
      </c>
      <c r="AZ194">
        <v>4.0279998779296804</v>
      </c>
      <c r="BA194">
        <v>4.05800008773803</v>
      </c>
      <c r="BB194">
        <v>3.9479999542236301</v>
      </c>
      <c r="BC194">
        <v>4.0250000953674299</v>
      </c>
      <c r="BD194">
        <v>4.0250000953674299</v>
      </c>
      <c r="BE194">
        <v>0</v>
      </c>
      <c r="BF194">
        <v>0.5</v>
      </c>
      <c r="BG194">
        <v>-6.1728627629756803E-3</v>
      </c>
      <c r="BH194">
        <v>1.58580850307499E-2</v>
      </c>
      <c r="BI194">
        <v>3.95330004692077</v>
      </c>
      <c r="BJ194">
        <f t="shared" si="2"/>
        <v>-1.7150903320765531E-2</v>
      </c>
    </row>
    <row r="195" spans="1:62">
      <c r="A195" s="2">
        <v>44868</v>
      </c>
      <c r="B195">
        <v>142.05999755859301</v>
      </c>
      <c r="C195">
        <v>142.80000305175699</v>
      </c>
      <c r="D195">
        <v>138.75</v>
      </c>
      <c r="E195">
        <v>138.88000488281199</v>
      </c>
      <c r="F195">
        <v>137.70359802246</v>
      </c>
      <c r="G195">
        <v>97918500</v>
      </c>
      <c r="H195">
        <v>0.1</v>
      </c>
      <c r="I195">
        <v>-4.2404977923520999E-2</v>
      </c>
      <c r="J195">
        <v>2.9564997143603701E-2</v>
      </c>
      <c r="K195">
        <v>148.68500061035101</v>
      </c>
      <c r="L195">
        <v>86.319999694824205</v>
      </c>
      <c r="M195">
        <v>86.519996643066406</v>
      </c>
      <c r="N195">
        <v>83.339996337890597</v>
      </c>
      <c r="O195">
        <v>83.430000305175696</v>
      </c>
      <c r="P195">
        <v>83.430000305175696</v>
      </c>
      <c r="Q195">
        <v>61288000</v>
      </c>
      <c r="R195">
        <v>0.1</v>
      </c>
      <c r="S195">
        <v>-4.0703700883525401E-2</v>
      </c>
      <c r="T195">
        <v>3.1295287956464801E-2</v>
      </c>
      <c r="U195">
        <v>94.695000457763598</v>
      </c>
      <c r="V195">
        <v>220.08999633789</v>
      </c>
      <c r="W195">
        <v>220.41000366210901</v>
      </c>
      <c r="X195">
        <v>213.97999572753901</v>
      </c>
      <c r="Y195">
        <v>214.25</v>
      </c>
      <c r="Z195">
        <v>211.37927246093699</v>
      </c>
      <c r="AA195">
        <v>36633900</v>
      </c>
      <c r="AB195">
        <v>0.1</v>
      </c>
      <c r="AC195">
        <v>-2.6578854799142002E-2</v>
      </c>
      <c r="AD195">
        <v>3.0629607052616199E-2</v>
      </c>
      <c r="AE195">
        <v>232.862001037597</v>
      </c>
      <c r="AF195">
        <v>169.80999755859301</v>
      </c>
      <c r="AG195">
        <v>171.47000122070301</v>
      </c>
      <c r="AH195">
        <v>168.94000244140599</v>
      </c>
      <c r="AI195">
        <v>170.72000122070301</v>
      </c>
      <c r="AJ195">
        <v>163.38888549804599</v>
      </c>
      <c r="AK195">
        <v>4819900</v>
      </c>
      <c r="AL195">
        <v>0.1</v>
      </c>
      <c r="AM195">
        <v>1.7016285711728401E-3</v>
      </c>
      <c r="AN195">
        <v>1.00542240921173E-2</v>
      </c>
      <c r="AO195">
        <v>171.8</v>
      </c>
      <c r="AP195">
        <v>58.110000610351499</v>
      </c>
      <c r="AQ195">
        <v>59</v>
      </c>
      <c r="AR195">
        <v>58.099998474121001</v>
      </c>
      <c r="AS195">
        <v>58.779998779296797</v>
      </c>
      <c r="AT195">
        <v>56.131988525390597</v>
      </c>
      <c r="AU195">
        <v>9194000</v>
      </c>
      <c r="AV195">
        <v>0.1</v>
      </c>
      <c r="AW195">
        <v>-5.1016142311754997E-4</v>
      </c>
      <c r="AX195">
        <v>1.3929265010419901E-2</v>
      </c>
      <c r="AY195">
        <v>58.9239994049072</v>
      </c>
      <c r="AZ195">
        <v>4.0250000953674299</v>
      </c>
      <c r="BA195">
        <v>4.0279998779296804</v>
      </c>
      <c r="BB195">
        <v>4.0079998970031703</v>
      </c>
      <c r="BC195">
        <v>4.0250000953674299</v>
      </c>
      <c r="BD195">
        <v>4.0250000953674299</v>
      </c>
      <c r="BE195">
        <v>0</v>
      </c>
      <c r="BF195">
        <v>0.5</v>
      </c>
      <c r="BG195">
        <v>0</v>
      </c>
      <c r="BH195">
        <v>1.58025543347735E-2</v>
      </c>
      <c r="BI195">
        <v>3.9668000459671</v>
      </c>
      <c r="BJ195">
        <f t="shared" si="2"/>
        <v>-1.084960664581331E-2</v>
      </c>
    </row>
    <row r="196" spans="1:62">
      <c r="A196" s="2">
        <v>44869</v>
      </c>
      <c r="B196">
        <v>142.08999633789</v>
      </c>
      <c r="C196">
        <v>142.669998168945</v>
      </c>
      <c r="D196">
        <v>134.38000488281199</v>
      </c>
      <c r="E196">
        <v>138.38000488281199</v>
      </c>
      <c r="F196">
        <v>137.43547058105401</v>
      </c>
      <c r="G196">
        <v>140814800</v>
      </c>
      <c r="H196">
        <v>0.1</v>
      </c>
      <c r="I196">
        <v>-3.6002302881677998E-3</v>
      </c>
      <c r="J196">
        <v>2.84168376834356E-2</v>
      </c>
      <c r="K196">
        <v>147.796000671386</v>
      </c>
      <c r="L196">
        <v>85.400001525878906</v>
      </c>
      <c r="M196">
        <v>86.639999389648395</v>
      </c>
      <c r="N196">
        <v>83.709999084472599</v>
      </c>
      <c r="O196">
        <v>86.580001831054602</v>
      </c>
      <c r="P196">
        <v>86.580001831054602</v>
      </c>
      <c r="Q196">
        <v>51124900</v>
      </c>
      <c r="R196">
        <v>0.1</v>
      </c>
      <c r="S196">
        <v>3.7756220955970497E-2</v>
      </c>
      <c r="T196">
        <v>3.26796909704129E-2</v>
      </c>
      <c r="U196">
        <v>93.240000915527304</v>
      </c>
      <c r="V196">
        <v>217.55000305175699</v>
      </c>
      <c r="W196">
        <v>221.58999633789</v>
      </c>
      <c r="X196">
        <v>213.42999267578099</v>
      </c>
      <c r="Y196">
        <v>221.38999938964801</v>
      </c>
      <c r="Z196">
        <v>218.423583984375</v>
      </c>
      <c r="AA196">
        <v>36789100</v>
      </c>
      <c r="AB196">
        <v>0.1</v>
      </c>
      <c r="AC196">
        <v>3.3325551410261001E-2</v>
      </c>
      <c r="AD196">
        <v>3.0004919484192399E-2</v>
      </c>
      <c r="AE196">
        <v>230.78900146484301</v>
      </c>
      <c r="AF196">
        <v>171.55999755859301</v>
      </c>
      <c r="AG196">
        <v>172.5</v>
      </c>
      <c r="AH196">
        <v>169.24000549316401</v>
      </c>
      <c r="AI196">
        <v>171.47999572753901</v>
      </c>
      <c r="AJ196">
        <v>164.11624145507801</v>
      </c>
      <c r="AK196">
        <v>5300900</v>
      </c>
      <c r="AL196">
        <v>0.1</v>
      </c>
      <c r="AM196">
        <v>4.4517016248930502E-3</v>
      </c>
      <c r="AN196">
        <v>9.5602709827254297E-3</v>
      </c>
      <c r="AO196">
        <v>172.07699890136701</v>
      </c>
      <c r="AP196">
        <v>59.299999237060497</v>
      </c>
      <c r="AQ196">
        <v>59.590000152587798</v>
      </c>
      <c r="AR196">
        <v>58.560001373291001</v>
      </c>
      <c r="AS196">
        <v>59.259998321533203</v>
      </c>
      <c r="AT196">
        <v>56.590362548828097</v>
      </c>
      <c r="AU196">
        <v>9725900</v>
      </c>
      <c r="AV196">
        <v>0.1</v>
      </c>
      <c r="AW196">
        <v>8.1660352535664008E-3</v>
      </c>
      <c r="AX196">
        <v>1.3628126390262601E-2</v>
      </c>
      <c r="AY196">
        <v>59.253999328613197</v>
      </c>
      <c r="AZ196">
        <v>4.0199999809265101</v>
      </c>
      <c r="BA196">
        <v>4.0279998779296804</v>
      </c>
      <c r="BB196">
        <v>3.9900000095367401</v>
      </c>
      <c r="BC196">
        <v>4.01300001144409</v>
      </c>
      <c r="BD196">
        <v>4.01300001144409</v>
      </c>
      <c r="BE196">
        <v>0</v>
      </c>
      <c r="BF196">
        <v>0.5</v>
      </c>
      <c r="BG196">
        <v>-2.9813872395062502E-3</v>
      </c>
      <c r="BH196">
        <v>1.5965111978638102E-2</v>
      </c>
      <c r="BI196">
        <v>3.9796000480651799</v>
      </c>
      <c r="BJ196">
        <f t="shared" si="2"/>
        <v>6.5192342758991903E-3</v>
      </c>
    </row>
    <row r="197" spans="1:62">
      <c r="A197" s="2">
        <v>44872</v>
      </c>
      <c r="B197">
        <v>137.11000061035099</v>
      </c>
      <c r="C197">
        <v>139.14999389648401</v>
      </c>
      <c r="D197">
        <v>135.669998168945</v>
      </c>
      <c r="E197">
        <v>138.919998168945</v>
      </c>
      <c r="F197">
        <v>137.971755981445</v>
      </c>
      <c r="G197">
        <v>83374600</v>
      </c>
      <c r="H197">
        <v>0.1</v>
      </c>
      <c r="I197">
        <v>3.9022493646398899E-3</v>
      </c>
      <c r="J197">
        <v>2.8426362114579301E-2</v>
      </c>
      <c r="K197">
        <v>146.74300079345701</v>
      </c>
      <c r="L197">
        <v>87.279998779296804</v>
      </c>
      <c r="M197">
        <v>88.900001525878906</v>
      </c>
      <c r="N197">
        <v>86.849998474121094</v>
      </c>
      <c r="O197">
        <v>88.489997863769503</v>
      </c>
      <c r="P197">
        <v>88.489997863769503</v>
      </c>
      <c r="Q197">
        <v>34078900</v>
      </c>
      <c r="R197">
        <v>0.1</v>
      </c>
      <c r="S197">
        <v>2.20604757717821E-2</v>
      </c>
      <c r="T197">
        <v>3.3267067978425602E-2</v>
      </c>
      <c r="U197">
        <v>91.837001037597602</v>
      </c>
      <c r="V197">
        <v>221.99000549316401</v>
      </c>
      <c r="W197">
        <v>228.41000366210901</v>
      </c>
      <c r="X197">
        <v>221.27999877929599</v>
      </c>
      <c r="Y197">
        <v>227.86999511718699</v>
      </c>
      <c r="Z197">
        <v>224.81675720214801</v>
      </c>
      <c r="AA197">
        <v>33498000</v>
      </c>
      <c r="AB197">
        <v>0.1</v>
      </c>
      <c r="AC197">
        <v>2.9269595489424999E-2</v>
      </c>
      <c r="AD197">
        <v>3.0454283912250399E-2</v>
      </c>
      <c r="AE197">
        <v>228.85100097656201</v>
      </c>
      <c r="AF197">
        <v>171.669998168945</v>
      </c>
      <c r="AG197">
        <v>173.850006103515</v>
      </c>
      <c r="AH197">
        <v>171.44000244140599</v>
      </c>
      <c r="AI197">
        <v>172.97999572753901</v>
      </c>
      <c r="AJ197">
        <v>165.55180358886699</v>
      </c>
      <c r="AK197">
        <v>6621000</v>
      </c>
      <c r="AL197">
        <v>0.1</v>
      </c>
      <c r="AM197">
        <v>8.7473760052065794E-3</v>
      </c>
      <c r="AN197">
        <v>9.6170909002656398E-3</v>
      </c>
      <c r="AO197">
        <v>172.27699890136699</v>
      </c>
      <c r="AP197">
        <v>59.259998321533203</v>
      </c>
      <c r="AQ197">
        <v>59.770000457763601</v>
      </c>
      <c r="AR197">
        <v>59.240001678466797</v>
      </c>
      <c r="AS197">
        <v>59.490001678466797</v>
      </c>
      <c r="AT197">
        <v>56.810005187988203</v>
      </c>
      <c r="AU197">
        <v>8849700</v>
      </c>
      <c r="AV197">
        <v>0.1</v>
      </c>
      <c r="AW197">
        <v>3.8812582424596598E-3</v>
      </c>
      <c r="AX197">
        <v>1.3543618560330799E-2</v>
      </c>
      <c r="AY197">
        <v>59.445999526977502</v>
      </c>
      <c r="AZ197">
        <v>4.0100002288818297</v>
      </c>
      <c r="BA197">
        <v>4.0100002288818297</v>
      </c>
      <c r="BB197">
        <v>3.9679999351501398</v>
      </c>
      <c r="BC197">
        <v>3.98300004005432</v>
      </c>
      <c r="BD197">
        <v>3.98300004005432</v>
      </c>
      <c r="BE197">
        <v>0</v>
      </c>
      <c r="BF197">
        <v>0.5</v>
      </c>
      <c r="BG197">
        <v>-7.4756968114173504E-3</v>
      </c>
      <c r="BH197">
        <v>1.6210774241952199E-2</v>
      </c>
      <c r="BI197">
        <v>3.98660004138946</v>
      </c>
      <c r="BJ197">
        <f t="shared" ref="BJ197:BJ234" si="3">BG197*BF197+AW197*AV197+AM197*AL197+AC197*AB197+S197*R197+I197*H197</f>
        <v>3.0482470816426484E-3</v>
      </c>
    </row>
    <row r="198" spans="1:62">
      <c r="A198" s="2">
        <v>44873</v>
      </c>
      <c r="B198">
        <v>140.41000366210901</v>
      </c>
      <c r="C198">
        <v>141.42999267578099</v>
      </c>
      <c r="D198">
        <v>137.49000549316401</v>
      </c>
      <c r="E198">
        <v>139.5</v>
      </c>
      <c r="F198">
        <v>138.54780578613199</v>
      </c>
      <c r="G198">
        <v>89908500</v>
      </c>
      <c r="H198">
        <v>0.1</v>
      </c>
      <c r="I198">
        <v>4.1750780211595702E-3</v>
      </c>
      <c r="J198">
        <v>2.8339591434771001E-2</v>
      </c>
      <c r="K198">
        <v>145.459001159667</v>
      </c>
      <c r="L198">
        <v>88.900001525878906</v>
      </c>
      <c r="M198">
        <v>90.319999694824205</v>
      </c>
      <c r="N198">
        <v>87.589996337890597</v>
      </c>
      <c r="O198">
        <v>88.900001525878906</v>
      </c>
      <c r="P198">
        <v>88.900001525878906</v>
      </c>
      <c r="Q198">
        <v>30429000</v>
      </c>
      <c r="R198">
        <v>0.1</v>
      </c>
      <c r="S198">
        <v>4.6333333936856499E-3</v>
      </c>
      <c r="T198">
        <v>3.33226323732638E-2</v>
      </c>
      <c r="U198">
        <v>90.279000854492097</v>
      </c>
      <c r="V198">
        <v>228.69999694824199</v>
      </c>
      <c r="W198">
        <v>231.64999389648401</v>
      </c>
      <c r="X198">
        <v>225.83999633789</v>
      </c>
      <c r="Y198">
        <v>228.86999511718699</v>
      </c>
      <c r="Z198">
        <v>225.80335998535099</v>
      </c>
      <c r="AA198">
        <v>28192500</v>
      </c>
      <c r="AB198">
        <v>0.1</v>
      </c>
      <c r="AC198">
        <v>4.3884672024754297E-3</v>
      </c>
      <c r="AD198">
        <v>3.0202873125184802E-2</v>
      </c>
      <c r="AE198">
        <v>226.67200012206999</v>
      </c>
      <c r="AF198">
        <v>173.13000488281199</v>
      </c>
      <c r="AG198">
        <v>174.69000244140599</v>
      </c>
      <c r="AH198">
        <v>172.17999267578099</v>
      </c>
      <c r="AI198">
        <v>173.83999633789</v>
      </c>
      <c r="AJ198">
        <v>166.37489318847599</v>
      </c>
      <c r="AK198">
        <v>5148400</v>
      </c>
      <c r="AL198">
        <v>0.1</v>
      </c>
      <c r="AM198">
        <v>4.9716766770311303E-3</v>
      </c>
      <c r="AN198">
        <v>9.2931467037047598E-3</v>
      </c>
      <c r="AO198">
        <v>172.58999786376901</v>
      </c>
      <c r="AP198">
        <v>59.75</v>
      </c>
      <c r="AQ198">
        <v>59.790000915527301</v>
      </c>
      <c r="AR198">
        <v>58.939998626708899</v>
      </c>
      <c r="AS198">
        <v>59.599998474121001</v>
      </c>
      <c r="AT198">
        <v>56.915042877197202</v>
      </c>
      <c r="AU198">
        <v>10081600</v>
      </c>
      <c r="AV198">
        <v>0.1</v>
      </c>
      <c r="AW198">
        <v>1.8489963447776399E-3</v>
      </c>
      <c r="AX198">
        <v>1.35414808471581E-2</v>
      </c>
      <c r="AY198">
        <v>59.510999298095697</v>
      </c>
      <c r="AZ198">
        <v>4.0949997901916504</v>
      </c>
      <c r="BA198">
        <v>4.0949997901916504</v>
      </c>
      <c r="BB198">
        <v>4.0650000572204501</v>
      </c>
      <c r="BC198">
        <v>4.0900001525878897</v>
      </c>
      <c r="BD198">
        <v>4.0900001525878897</v>
      </c>
      <c r="BE198">
        <v>0</v>
      </c>
      <c r="BF198">
        <v>0.5</v>
      </c>
      <c r="BG198">
        <v>2.6864200717434599E-2</v>
      </c>
      <c r="BH198">
        <v>1.65923605205976E-2</v>
      </c>
      <c r="BI198">
        <v>3.9991000652313198</v>
      </c>
      <c r="BJ198">
        <f t="shared" si="3"/>
        <v>1.5433855522630241E-2</v>
      </c>
    </row>
    <row r="199" spans="1:62">
      <c r="A199" s="2">
        <v>44874</v>
      </c>
      <c r="B199">
        <v>138.5</v>
      </c>
      <c r="C199">
        <v>138.55000305175699</v>
      </c>
      <c r="D199">
        <v>134.58999633789</v>
      </c>
      <c r="E199">
        <v>134.86999511718699</v>
      </c>
      <c r="F199">
        <v>133.94940185546801</v>
      </c>
      <c r="G199">
        <v>74917800</v>
      </c>
      <c r="H199">
        <v>0.1</v>
      </c>
      <c r="I199">
        <v>-3.31899991599462E-2</v>
      </c>
      <c r="J199">
        <v>2.9317904974241998E-2</v>
      </c>
      <c r="K199">
        <v>144.01100006103499</v>
      </c>
      <c r="L199">
        <v>88.449996948242102</v>
      </c>
      <c r="M199">
        <v>89.440002441406193</v>
      </c>
      <c r="N199">
        <v>87.279998779296804</v>
      </c>
      <c r="O199">
        <v>87.319999694824205</v>
      </c>
      <c r="P199">
        <v>87.319999694824205</v>
      </c>
      <c r="Q199">
        <v>31769100</v>
      </c>
      <c r="R199">
        <v>0.1</v>
      </c>
      <c r="S199">
        <v>-1.77727986944381E-2</v>
      </c>
      <c r="T199">
        <v>3.3407669095897097E-2</v>
      </c>
      <c r="U199">
        <v>89.518000793457006</v>
      </c>
      <c r="V199">
        <v>227.36999511718699</v>
      </c>
      <c r="W199">
        <v>228.63000488281199</v>
      </c>
      <c r="X199">
        <v>224.33000183105401</v>
      </c>
      <c r="Y199">
        <v>224.509994506835</v>
      </c>
      <c r="Z199">
        <v>221.50178527832</v>
      </c>
      <c r="AA199">
        <v>27852900</v>
      </c>
      <c r="AB199">
        <v>0.1</v>
      </c>
      <c r="AC199">
        <v>-1.9050118859482299E-2</v>
      </c>
      <c r="AD199">
        <v>3.0539827448397401E-2</v>
      </c>
      <c r="AE199">
        <v>225.990998840332</v>
      </c>
      <c r="AF199">
        <v>174.27000427246</v>
      </c>
      <c r="AG199">
        <v>175</v>
      </c>
      <c r="AH199">
        <v>172.33999633789</v>
      </c>
      <c r="AI199">
        <v>172.44999694824199</v>
      </c>
      <c r="AJ199">
        <v>165.04460144042901</v>
      </c>
      <c r="AK199">
        <v>6150000</v>
      </c>
      <c r="AL199">
        <v>0.1</v>
      </c>
      <c r="AM199">
        <v>-7.9958549179137695E-3</v>
      </c>
      <c r="AN199">
        <v>9.6071818282181497E-3</v>
      </c>
      <c r="AO199">
        <v>172.61399688720701</v>
      </c>
      <c r="AP199">
        <v>59.590000152587798</v>
      </c>
      <c r="AQ199">
        <v>59.639999389648402</v>
      </c>
      <c r="AR199">
        <v>58.75</v>
      </c>
      <c r="AS199">
        <v>58.770000457763601</v>
      </c>
      <c r="AT199">
        <v>56.1224365234375</v>
      </c>
      <c r="AU199">
        <v>10115200</v>
      </c>
      <c r="AV199">
        <v>0.1</v>
      </c>
      <c r="AW199">
        <v>-1.3926141570587599E-2</v>
      </c>
      <c r="AX199">
        <v>1.4023064199458601E-2</v>
      </c>
      <c r="AY199">
        <v>59.448999404907198</v>
      </c>
      <c r="AZ199">
        <v>4.0799999237060502</v>
      </c>
      <c r="BA199">
        <v>4.0949997901916504</v>
      </c>
      <c r="BB199">
        <v>4</v>
      </c>
      <c r="BC199">
        <v>4.0929999351501403</v>
      </c>
      <c r="BD199">
        <v>4.0929999351501403</v>
      </c>
      <c r="BE199">
        <v>0</v>
      </c>
      <c r="BF199">
        <v>0.5</v>
      </c>
      <c r="BG199">
        <v>7.33443141892831E-4</v>
      </c>
      <c r="BH199">
        <v>1.2366600261490701E-2</v>
      </c>
      <c r="BI199">
        <v>4.0154000520706097</v>
      </c>
      <c r="BJ199">
        <f t="shared" si="3"/>
        <v>-8.8267697492903814E-3</v>
      </c>
    </row>
    <row r="200" spans="1:62">
      <c r="A200" s="2">
        <v>44875</v>
      </c>
      <c r="B200">
        <v>141.24000549316401</v>
      </c>
      <c r="C200">
        <v>146.86999511718699</v>
      </c>
      <c r="D200">
        <v>139.5</v>
      </c>
      <c r="E200">
        <v>146.86999511718699</v>
      </c>
      <c r="F200">
        <v>145.86750793457</v>
      </c>
      <c r="G200">
        <v>118854000</v>
      </c>
      <c r="H200">
        <v>0.1</v>
      </c>
      <c r="I200">
        <v>8.8974571323838694E-2</v>
      </c>
      <c r="J200">
        <v>3.4838350411026897E-2</v>
      </c>
      <c r="K200">
        <v>144.21799926757799</v>
      </c>
      <c r="L200">
        <v>92.25</v>
      </c>
      <c r="M200">
        <v>94.389999389648395</v>
      </c>
      <c r="N200">
        <v>91.610000610351506</v>
      </c>
      <c r="O200">
        <v>93.940002441406193</v>
      </c>
      <c r="P200">
        <v>93.940002441406193</v>
      </c>
      <c r="Q200">
        <v>51620100</v>
      </c>
      <c r="R200">
        <v>0.1</v>
      </c>
      <c r="S200">
        <v>7.5813132956005003E-2</v>
      </c>
      <c r="T200">
        <v>3.7792231328514801E-2</v>
      </c>
      <c r="U200">
        <v>89.690000915527307</v>
      </c>
      <c r="V200">
        <v>235.42999267578099</v>
      </c>
      <c r="W200">
        <v>243.33000183105401</v>
      </c>
      <c r="X200">
        <v>235</v>
      </c>
      <c r="Y200">
        <v>242.97999572753901</v>
      </c>
      <c r="Z200">
        <v>239.72431945800699</v>
      </c>
      <c r="AA200">
        <v>46268000</v>
      </c>
      <c r="AB200">
        <v>0.1</v>
      </c>
      <c r="AC200">
        <v>8.2268057870985997E-2</v>
      </c>
      <c r="AD200">
        <v>3.4761913857127798E-2</v>
      </c>
      <c r="AE200">
        <v>227.613998413085</v>
      </c>
      <c r="AF200">
        <v>174.350006103515</v>
      </c>
      <c r="AG200">
        <v>174.77000427246</v>
      </c>
      <c r="AH200">
        <v>172.03999328613199</v>
      </c>
      <c r="AI200">
        <v>174.47000122070301</v>
      </c>
      <c r="AJ200">
        <v>166.97785949707</v>
      </c>
      <c r="AK200">
        <v>7877500</v>
      </c>
      <c r="AL200">
        <v>0.1</v>
      </c>
      <c r="AM200">
        <v>1.17135651389266E-2</v>
      </c>
      <c r="AN200">
        <v>9.4083630624568898E-3</v>
      </c>
      <c r="AO200">
        <v>172.82999725341699</v>
      </c>
      <c r="AP200">
        <v>60.25</v>
      </c>
      <c r="AQ200">
        <v>61.040000915527301</v>
      </c>
      <c r="AR200">
        <v>59.680000305175703</v>
      </c>
      <c r="AS200">
        <v>60.880001068115199</v>
      </c>
      <c r="AT200">
        <v>58.137378692626903</v>
      </c>
      <c r="AU200">
        <v>16804800</v>
      </c>
      <c r="AV200">
        <v>0.1</v>
      </c>
      <c r="AW200">
        <v>3.5902681536780799E-2</v>
      </c>
      <c r="AX200">
        <v>1.5686712242256502E-2</v>
      </c>
      <c r="AY200">
        <v>59.583999633788999</v>
      </c>
      <c r="AZ200">
        <v>4.0949997901916504</v>
      </c>
      <c r="BA200">
        <v>4.0949997901916504</v>
      </c>
      <c r="BB200">
        <v>3.9479999542236301</v>
      </c>
      <c r="BC200">
        <v>4.0549998283386204</v>
      </c>
      <c r="BD200">
        <v>4.0549998283386204</v>
      </c>
      <c r="BE200">
        <v>0</v>
      </c>
      <c r="BF200">
        <v>0.5</v>
      </c>
      <c r="BG200">
        <v>-9.2841699031518399E-3</v>
      </c>
      <c r="BH200">
        <v>1.28013583852597E-2</v>
      </c>
      <c r="BI200">
        <v>4.0279000282287596</v>
      </c>
      <c r="BJ200">
        <f t="shared" si="3"/>
        <v>2.4825115931077793E-2</v>
      </c>
    </row>
    <row r="201" spans="1:62">
      <c r="A201" s="2">
        <v>44876</v>
      </c>
      <c r="B201">
        <v>145.82000732421801</v>
      </c>
      <c r="C201">
        <v>150.009994506835</v>
      </c>
      <c r="D201">
        <v>144.36999511718699</v>
      </c>
      <c r="E201">
        <v>149.69999694824199</v>
      </c>
      <c r="F201">
        <v>148.67817687988199</v>
      </c>
      <c r="G201">
        <v>93979700</v>
      </c>
      <c r="H201">
        <v>0.1</v>
      </c>
      <c r="I201">
        <v>1.9268754171310701E-2</v>
      </c>
      <c r="J201">
        <v>3.4077102062780203E-2</v>
      </c>
      <c r="K201">
        <v>143.613998413085</v>
      </c>
      <c r="L201">
        <v>94.690002441406193</v>
      </c>
      <c r="M201">
        <v>96.930000305175696</v>
      </c>
      <c r="N201">
        <v>93.919998168945298</v>
      </c>
      <c r="O201">
        <v>96.410003662109304</v>
      </c>
      <c r="P201">
        <v>96.410003662109304</v>
      </c>
      <c r="Q201">
        <v>33090500</v>
      </c>
      <c r="R201">
        <v>0.1</v>
      </c>
      <c r="S201">
        <v>2.6293391063554099E-2</v>
      </c>
      <c r="T201">
        <v>3.7878615041065801E-2</v>
      </c>
      <c r="U201">
        <v>89.702001190185499</v>
      </c>
      <c r="V201">
        <v>242.99000549316401</v>
      </c>
      <c r="W201">
        <v>247.99000549316401</v>
      </c>
      <c r="X201">
        <v>241.92999267578099</v>
      </c>
      <c r="Y201">
        <v>247.11000061035099</v>
      </c>
      <c r="Z201">
        <v>243.79896545410099</v>
      </c>
      <c r="AA201">
        <v>34620200</v>
      </c>
      <c r="AB201">
        <v>0.1</v>
      </c>
      <c r="AC201">
        <v>1.6997304121461901E-2</v>
      </c>
      <c r="AD201">
        <v>3.4318006081219897E-2</v>
      </c>
      <c r="AE201">
        <v>228.737998962402</v>
      </c>
      <c r="AF201">
        <v>172.72999572753901</v>
      </c>
      <c r="AG201">
        <v>173.11000061035099</v>
      </c>
      <c r="AH201">
        <v>166.82000732421801</v>
      </c>
      <c r="AI201">
        <v>169.25</v>
      </c>
      <c r="AJ201">
        <v>161.982009887695</v>
      </c>
      <c r="AK201">
        <v>11074700</v>
      </c>
      <c r="AL201">
        <v>0.1</v>
      </c>
      <c r="AM201">
        <v>-2.99191906011387E-2</v>
      </c>
      <c r="AN201">
        <v>1.1854530910259099E-2</v>
      </c>
      <c r="AO201">
        <v>172.26799774169899</v>
      </c>
      <c r="AP201">
        <v>61.369998931884702</v>
      </c>
      <c r="AQ201">
        <v>61.450000762939403</v>
      </c>
      <c r="AR201">
        <v>60.209999084472599</v>
      </c>
      <c r="AS201">
        <v>61.319999694824197</v>
      </c>
      <c r="AT201">
        <v>58.5575561523437</v>
      </c>
      <c r="AU201">
        <v>18972100</v>
      </c>
      <c r="AV201">
        <v>0.1</v>
      </c>
      <c r="AW201">
        <v>7.2273097731501102E-3</v>
      </c>
      <c r="AX201">
        <v>1.49426606699272E-2</v>
      </c>
      <c r="AY201">
        <v>59.639999771118099</v>
      </c>
      <c r="AZ201">
        <v>4.0630002021789497</v>
      </c>
      <c r="BA201">
        <v>4.0630002021789497</v>
      </c>
      <c r="BB201">
        <v>4.0630002021789497</v>
      </c>
      <c r="BC201">
        <v>4.0630002021789497</v>
      </c>
      <c r="BD201">
        <v>4.0630002021789497</v>
      </c>
      <c r="BE201">
        <v>0</v>
      </c>
      <c r="BF201">
        <v>0.5</v>
      </c>
      <c r="BG201">
        <v>1.9729652722599799E-3</v>
      </c>
      <c r="BH201">
        <v>1.27469533239377E-2</v>
      </c>
      <c r="BI201">
        <v>4.0372000455856298</v>
      </c>
      <c r="BJ201">
        <f t="shared" si="3"/>
        <v>4.9732394889638017E-3</v>
      </c>
    </row>
    <row r="202" spans="1:62">
      <c r="A202" s="2">
        <v>44879</v>
      </c>
      <c r="B202">
        <v>148.97000122070301</v>
      </c>
      <c r="C202">
        <v>150.27999877929599</v>
      </c>
      <c r="D202">
        <v>147.42999267578099</v>
      </c>
      <c r="E202">
        <v>148.27999877929599</v>
      </c>
      <c r="F202">
        <v>147.26786804199199</v>
      </c>
      <c r="G202">
        <v>73374100</v>
      </c>
      <c r="H202">
        <v>0.1</v>
      </c>
      <c r="I202">
        <v>-9.4856259044297994E-3</v>
      </c>
      <c r="J202">
        <v>3.3698984165026001E-2</v>
      </c>
      <c r="K202">
        <v>143.10799865722601</v>
      </c>
      <c r="L202">
        <v>95.089996337890597</v>
      </c>
      <c r="M202">
        <v>96.790000915527301</v>
      </c>
      <c r="N202">
        <v>94.510002136230398</v>
      </c>
      <c r="O202">
        <v>95.699996948242102</v>
      </c>
      <c r="P202">
        <v>95.699996948242102</v>
      </c>
      <c r="Q202">
        <v>30179500</v>
      </c>
      <c r="R202">
        <v>0.1</v>
      </c>
      <c r="S202">
        <v>-7.3644506472125802E-3</v>
      </c>
      <c r="T202">
        <v>3.7012938825360199E-2</v>
      </c>
      <c r="U202">
        <v>89.821000671386699</v>
      </c>
      <c r="V202">
        <v>241.99000549316401</v>
      </c>
      <c r="W202">
        <v>243.91000366210901</v>
      </c>
      <c r="X202">
        <v>239.21000671386699</v>
      </c>
      <c r="Y202">
        <v>241.55000305175699</v>
      </c>
      <c r="Z202">
        <v>238.3134765625</v>
      </c>
      <c r="AA202">
        <v>31123300</v>
      </c>
      <c r="AB202">
        <v>0.1</v>
      </c>
      <c r="AC202">
        <v>-2.2500091234109398E-2</v>
      </c>
      <c r="AD202">
        <v>3.3798161688031E-2</v>
      </c>
      <c r="AE202">
        <v>229.679998779296</v>
      </c>
      <c r="AF202">
        <v>170.25</v>
      </c>
      <c r="AG202">
        <v>173.259994506835</v>
      </c>
      <c r="AH202">
        <v>170.25</v>
      </c>
      <c r="AI202">
        <v>171.91000366210901</v>
      </c>
      <c r="AJ202">
        <v>164.52778625488199</v>
      </c>
      <c r="AK202">
        <v>6581500</v>
      </c>
      <c r="AL202">
        <v>0.1</v>
      </c>
      <c r="AM202">
        <v>1.5716417501384802E-2</v>
      </c>
      <c r="AN202">
        <v>1.20101666245182E-2</v>
      </c>
      <c r="AO202">
        <v>172.06199798583901</v>
      </c>
      <c r="AP202">
        <v>61.319999694824197</v>
      </c>
      <c r="AQ202">
        <v>61.720001220703097</v>
      </c>
      <c r="AR202">
        <v>60.709999084472599</v>
      </c>
      <c r="AS202">
        <v>60.7299995422363</v>
      </c>
      <c r="AT202">
        <v>57.994136810302699</v>
      </c>
      <c r="AU202">
        <v>16361000</v>
      </c>
      <c r="AV202">
        <v>0.1</v>
      </c>
      <c r="AW202">
        <v>-9.6216594182026993E-3</v>
      </c>
      <c r="AX202">
        <v>1.52076110596266E-2</v>
      </c>
      <c r="AY202">
        <v>59.727999877929598</v>
      </c>
      <c r="AZ202">
        <v>4.0780000686645499</v>
      </c>
      <c r="BA202">
        <v>4.0900001525878897</v>
      </c>
      <c r="BB202">
        <v>4.0500001907348597</v>
      </c>
      <c r="BC202">
        <v>4.0679998397827104</v>
      </c>
      <c r="BD202">
        <v>4.0679998397827104</v>
      </c>
      <c r="BE202">
        <v>0</v>
      </c>
      <c r="BF202">
        <v>0.5</v>
      </c>
      <c r="BG202">
        <v>1.23052851463767E-3</v>
      </c>
      <c r="BH202">
        <v>1.2522962867024E-2</v>
      </c>
      <c r="BI202">
        <v>4.04650003910064</v>
      </c>
      <c r="BJ202">
        <f t="shared" si="3"/>
        <v>-2.7102767129381323E-3</v>
      </c>
    </row>
    <row r="203" spans="1:62">
      <c r="A203" s="2">
        <v>44880</v>
      </c>
      <c r="B203">
        <v>152.22000122070301</v>
      </c>
      <c r="C203">
        <v>153.58999633789</v>
      </c>
      <c r="D203">
        <v>148.55999755859301</v>
      </c>
      <c r="E203">
        <v>150.03999328613199</v>
      </c>
      <c r="F203">
        <v>149.015853881835</v>
      </c>
      <c r="G203">
        <v>89868300</v>
      </c>
      <c r="H203">
        <v>0.1</v>
      </c>
      <c r="I203">
        <v>1.1869399253607599E-2</v>
      </c>
      <c r="J203">
        <v>3.3729823334782798E-2</v>
      </c>
      <c r="K203">
        <v>143.046998596191</v>
      </c>
      <c r="L203">
        <v>98.260002136230398</v>
      </c>
      <c r="M203">
        <v>100.139999389648</v>
      </c>
      <c r="N203">
        <v>96.709999084472599</v>
      </c>
      <c r="O203">
        <v>98.440002441406193</v>
      </c>
      <c r="P203">
        <v>98.440002441406193</v>
      </c>
      <c r="Q203">
        <v>41640800</v>
      </c>
      <c r="R203">
        <v>0.1</v>
      </c>
      <c r="S203">
        <v>2.86311972888144E-2</v>
      </c>
      <c r="T203">
        <v>3.7575502163085799E-2</v>
      </c>
      <c r="U203">
        <v>90.618000793457</v>
      </c>
      <c r="V203">
        <v>245.66000366210901</v>
      </c>
      <c r="W203">
        <v>247</v>
      </c>
      <c r="X203">
        <v>240.02999877929599</v>
      </c>
      <c r="Y203">
        <v>241.97000122070301</v>
      </c>
      <c r="Z203">
        <v>238.72784423828099</v>
      </c>
      <c r="AA203">
        <v>31390100</v>
      </c>
      <c r="AB203">
        <v>0.1</v>
      </c>
      <c r="AC203">
        <v>1.7387628384972699E-3</v>
      </c>
      <c r="AD203">
        <v>3.3792359806026899E-2</v>
      </c>
      <c r="AE203">
        <v>231.059999084472</v>
      </c>
      <c r="AF203">
        <v>172.19000244140599</v>
      </c>
      <c r="AG203">
        <v>173</v>
      </c>
      <c r="AH203">
        <v>170.52000427246</v>
      </c>
      <c r="AI203">
        <v>172.38999938964801</v>
      </c>
      <c r="AJ203">
        <v>164.98716735839801</v>
      </c>
      <c r="AK203">
        <v>9351000</v>
      </c>
      <c r="AL203">
        <v>0.1</v>
      </c>
      <c r="AM203">
        <v>2.79213377531251E-3</v>
      </c>
      <c r="AN203">
        <v>1.1951093181225E-2</v>
      </c>
      <c r="AO203">
        <v>171.99199829101499</v>
      </c>
      <c r="AP203">
        <v>61.130001068115199</v>
      </c>
      <c r="AQ203">
        <v>61.450000762939403</v>
      </c>
      <c r="AR203">
        <v>60</v>
      </c>
      <c r="AS203">
        <v>60.630001068115199</v>
      </c>
      <c r="AT203">
        <v>57.898643493652301</v>
      </c>
      <c r="AU203">
        <v>13295800</v>
      </c>
      <c r="AV203">
        <v>0.1</v>
      </c>
      <c r="AW203">
        <v>-1.64660752305034E-3</v>
      </c>
      <c r="AX203">
        <v>1.51111618772622E-2</v>
      </c>
      <c r="AY203">
        <v>59.827000045776302</v>
      </c>
      <c r="AZ203">
        <v>4.125</v>
      </c>
      <c r="BA203">
        <v>4.13000011444091</v>
      </c>
      <c r="BB203">
        <v>4.1050000190734801</v>
      </c>
      <c r="BC203">
        <v>4.13000011444091</v>
      </c>
      <c r="BD203">
        <v>4.13000011444091</v>
      </c>
      <c r="BE203">
        <v>0</v>
      </c>
      <c r="BF203">
        <v>0.5</v>
      </c>
      <c r="BG203">
        <v>1.5240972738463599E-2</v>
      </c>
      <c r="BH203">
        <v>9.9403151717592803E-3</v>
      </c>
      <c r="BI203">
        <v>4.0545000314712496</v>
      </c>
      <c r="BJ203">
        <f t="shared" si="3"/>
        <v>1.1958974932549944E-2</v>
      </c>
    </row>
    <row r="204" spans="1:62">
      <c r="A204" s="2">
        <v>44881</v>
      </c>
      <c r="B204">
        <v>149.13000488281199</v>
      </c>
      <c r="C204">
        <v>149.86999511718699</v>
      </c>
      <c r="D204">
        <v>147.28999328613199</v>
      </c>
      <c r="E204">
        <v>148.78999328613199</v>
      </c>
      <c r="F204">
        <v>147.77439880371</v>
      </c>
      <c r="G204">
        <v>64218300</v>
      </c>
      <c r="H204">
        <v>0.1</v>
      </c>
      <c r="I204">
        <v>-8.3311120763395197E-3</v>
      </c>
      <c r="J204">
        <v>3.38180780867764E-2</v>
      </c>
      <c r="K204">
        <v>143.42299804687499</v>
      </c>
      <c r="L204">
        <v>97.900001525878906</v>
      </c>
      <c r="M204">
        <v>99.639999389648395</v>
      </c>
      <c r="N204">
        <v>97.639999389648395</v>
      </c>
      <c r="O204">
        <v>98.849998474121094</v>
      </c>
      <c r="P204">
        <v>98.849998474121094</v>
      </c>
      <c r="Q204">
        <v>29105200</v>
      </c>
      <c r="R204">
        <v>0.1</v>
      </c>
      <c r="S204">
        <v>4.1649331831221598E-3</v>
      </c>
      <c r="T204">
        <v>3.7500205962639602E-2</v>
      </c>
      <c r="U204">
        <v>91.806000518798797</v>
      </c>
      <c r="V204">
        <v>242.78999328613199</v>
      </c>
      <c r="W204">
        <v>243.80000305175699</v>
      </c>
      <c r="X204">
        <v>240.419998168945</v>
      </c>
      <c r="Y204">
        <v>241.72999572753901</v>
      </c>
      <c r="Z204">
        <v>239.16317749023401</v>
      </c>
      <c r="AA204">
        <v>24093300</v>
      </c>
      <c r="AB204">
        <v>0.1</v>
      </c>
      <c r="AC204">
        <v>-9.91881191690136E-4</v>
      </c>
      <c r="AD204">
        <v>3.3720288697893799E-2</v>
      </c>
      <c r="AE204">
        <v>233.22299804687501</v>
      </c>
      <c r="AF204">
        <v>173.63999938964801</v>
      </c>
      <c r="AG204">
        <v>174.99000549316401</v>
      </c>
      <c r="AH204">
        <v>173.13000488281199</v>
      </c>
      <c r="AI204">
        <v>173.46000671386699</v>
      </c>
      <c r="AJ204">
        <v>166.01123046875</v>
      </c>
      <c r="AK204">
        <v>5500900</v>
      </c>
      <c r="AL204">
        <v>0.1</v>
      </c>
      <c r="AM204">
        <v>6.2068990545109896E-3</v>
      </c>
      <c r="AN204">
        <v>1.17510399374917E-2</v>
      </c>
      <c r="AO204">
        <v>172.29499969482401</v>
      </c>
      <c r="AP204">
        <v>60.790000915527301</v>
      </c>
      <c r="AQ204">
        <v>61.029998779296797</v>
      </c>
      <c r="AR204">
        <v>60.290000915527301</v>
      </c>
      <c r="AS204">
        <v>60.520000457763601</v>
      </c>
      <c r="AT204">
        <v>57.7935981750488</v>
      </c>
      <c r="AU204">
        <v>14199500</v>
      </c>
      <c r="AV204">
        <v>0.1</v>
      </c>
      <c r="AW204">
        <v>-1.8142933929355899E-3</v>
      </c>
      <c r="AX204">
        <v>1.48994659680398E-2</v>
      </c>
      <c r="AY204">
        <v>59.997999954223602</v>
      </c>
      <c r="AZ204">
        <v>4.1199998855590803</v>
      </c>
      <c r="BA204">
        <v>4.13000011444091</v>
      </c>
      <c r="BB204">
        <v>4.0500001907348597</v>
      </c>
      <c r="BC204">
        <v>4.125</v>
      </c>
      <c r="BD204">
        <v>4.125</v>
      </c>
      <c r="BE204">
        <v>0</v>
      </c>
      <c r="BF204">
        <v>0.5</v>
      </c>
      <c r="BG204">
        <v>-1.2106814291443699E-3</v>
      </c>
      <c r="BH204">
        <v>9.5896398222826505E-3</v>
      </c>
      <c r="BI204">
        <v>4.0645000219345002</v>
      </c>
      <c r="BJ204">
        <f t="shared" si="3"/>
        <v>-6.8188615690539453E-4</v>
      </c>
    </row>
    <row r="205" spans="1:62">
      <c r="A205" s="2">
        <v>44882</v>
      </c>
      <c r="B205">
        <v>146.42999267578099</v>
      </c>
      <c r="C205">
        <v>151.47999572753901</v>
      </c>
      <c r="D205">
        <v>146.14999389648401</v>
      </c>
      <c r="E205">
        <v>150.72000122070301</v>
      </c>
      <c r="F205">
        <v>149.69122314453099</v>
      </c>
      <c r="G205">
        <v>80389400</v>
      </c>
      <c r="H205">
        <v>0.1</v>
      </c>
      <c r="I205">
        <v>1.29713557474175E-2</v>
      </c>
      <c r="J205">
        <v>3.3874402180787799E-2</v>
      </c>
      <c r="K205">
        <v>144.60699768066399</v>
      </c>
      <c r="L205">
        <v>96.970001220703097</v>
      </c>
      <c r="M205">
        <v>99.279998779296804</v>
      </c>
      <c r="N205">
        <v>96.790000915527301</v>
      </c>
      <c r="O205">
        <v>98.360000610351506</v>
      </c>
      <c r="P205">
        <v>98.360000610351506</v>
      </c>
      <c r="Q205">
        <v>26052600</v>
      </c>
      <c r="R205">
        <v>0.1</v>
      </c>
      <c r="S205">
        <v>-4.9569840296741496E-3</v>
      </c>
      <c r="T205">
        <v>3.7510137077686703E-2</v>
      </c>
      <c r="U205">
        <v>93.299000549316403</v>
      </c>
      <c r="V205">
        <v>237.77999877929599</v>
      </c>
      <c r="W205">
        <v>243.25</v>
      </c>
      <c r="X205">
        <v>237.63000488281199</v>
      </c>
      <c r="Y205">
        <v>241.67999267578099</v>
      </c>
      <c r="Z205">
        <v>239.11370849609301</v>
      </c>
      <c r="AA205">
        <v>23123500</v>
      </c>
      <c r="AB205">
        <v>0.1</v>
      </c>
      <c r="AC205">
        <v>-2.0685497307570901E-4</v>
      </c>
      <c r="AD205">
        <v>3.3715708459350097E-2</v>
      </c>
      <c r="AE205">
        <v>235.96599731445301</v>
      </c>
      <c r="AF205">
        <v>173</v>
      </c>
      <c r="AG205">
        <v>174.99000549316401</v>
      </c>
      <c r="AH205">
        <v>172.97999572753901</v>
      </c>
      <c r="AI205">
        <v>174.86000061035099</v>
      </c>
      <c r="AJ205">
        <v>167.35110473632801</v>
      </c>
      <c r="AK205">
        <v>4464100</v>
      </c>
      <c r="AL205">
        <v>0.1</v>
      </c>
      <c r="AM205">
        <v>8.0709895209087803E-3</v>
      </c>
      <c r="AN205">
        <v>1.18129216517568E-2</v>
      </c>
      <c r="AO205">
        <v>172.70899963378901</v>
      </c>
      <c r="AP205">
        <v>60.189998626708899</v>
      </c>
      <c r="AQ205">
        <v>60.740001678466797</v>
      </c>
      <c r="AR205">
        <v>60.130001068115199</v>
      </c>
      <c r="AS205">
        <v>60.709999084472599</v>
      </c>
      <c r="AT205">
        <v>57.975040435791001</v>
      </c>
      <c r="AU205">
        <v>11212600</v>
      </c>
      <c r="AV205">
        <v>0.1</v>
      </c>
      <c r="AW205">
        <v>3.1394353151332701E-3</v>
      </c>
      <c r="AX205">
        <v>1.41619291859437E-2</v>
      </c>
      <c r="AY205">
        <v>60.190999984741197</v>
      </c>
      <c r="AZ205">
        <v>4.1279997825622496</v>
      </c>
      <c r="BA205">
        <v>4.1350002288818297</v>
      </c>
      <c r="BB205">
        <v>4.0879998207092196</v>
      </c>
      <c r="BC205">
        <v>4.1129999160766602</v>
      </c>
      <c r="BD205">
        <v>4.1129999160766602</v>
      </c>
      <c r="BE205">
        <v>0</v>
      </c>
      <c r="BF205">
        <v>0.5</v>
      </c>
      <c r="BG205">
        <v>-2.90911125414294E-3</v>
      </c>
      <c r="BH205">
        <v>9.6449755638866198E-3</v>
      </c>
      <c r="BI205">
        <v>4.0733000040054304</v>
      </c>
      <c r="BJ205">
        <f t="shared" si="3"/>
        <v>4.4723853099949923E-4</v>
      </c>
    </row>
    <row r="206" spans="1:62">
      <c r="A206" s="2">
        <v>44883</v>
      </c>
      <c r="B206">
        <v>152.30999755859301</v>
      </c>
      <c r="C206">
        <v>152.69999694824199</v>
      </c>
      <c r="D206">
        <v>149.97000122070301</v>
      </c>
      <c r="E206">
        <v>151.28999328613199</v>
      </c>
      <c r="F206">
        <v>150.25733947753901</v>
      </c>
      <c r="G206">
        <v>74829600</v>
      </c>
      <c r="H206">
        <v>0.1</v>
      </c>
      <c r="I206">
        <v>3.7817944586866401E-3</v>
      </c>
      <c r="J206">
        <v>3.3401850349675098E-2</v>
      </c>
      <c r="K206">
        <v>145.897996520996</v>
      </c>
      <c r="L206">
        <v>98.769996643066406</v>
      </c>
      <c r="M206">
        <v>98.900001525878906</v>
      </c>
      <c r="N206">
        <v>96.370002746582003</v>
      </c>
      <c r="O206">
        <v>97.430000305175696</v>
      </c>
      <c r="P206">
        <v>97.430000305175696</v>
      </c>
      <c r="Q206">
        <v>28342300</v>
      </c>
      <c r="R206">
        <v>0.1</v>
      </c>
      <c r="S206">
        <v>-9.4550660777232808E-3</v>
      </c>
      <c r="T206">
        <v>3.7458791931942001E-2</v>
      </c>
      <c r="U206">
        <v>94.384000396728496</v>
      </c>
      <c r="V206">
        <v>243.509994506835</v>
      </c>
      <c r="W206">
        <v>243.74000549316401</v>
      </c>
      <c r="X206">
        <v>239.02999877929599</v>
      </c>
      <c r="Y206">
        <v>241.22000122070301</v>
      </c>
      <c r="Z206">
        <v>238.65858459472599</v>
      </c>
      <c r="AA206">
        <v>27613500</v>
      </c>
      <c r="AB206">
        <v>0.1</v>
      </c>
      <c r="AC206">
        <v>-1.9033079651538101E-3</v>
      </c>
      <c r="AD206">
        <v>3.3259800746703497E-2</v>
      </c>
      <c r="AE206">
        <v>237.948997497558</v>
      </c>
      <c r="AF206">
        <v>175</v>
      </c>
      <c r="AG206">
        <v>176.63999938964801</v>
      </c>
      <c r="AH206">
        <v>174.61999511718699</v>
      </c>
      <c r="AI206">
        <v>176.19999694824199</v>
      </c>
      <c r="AJ206">
        <v>168.63356018066401</v>
      </c>
      <c r="AK206">
        <v>6555700</v>
      </c>
      <c r="AL206">
        <v>0.1</v>
      </c>
      <c r="AM206">
        <v>7.6632525060811299E-3</v>
      </c>
      <c r="AN206">
        <v>1.1021066089473701E-2</v>
      </c>
      <c r="AO206">
        <v>173.18099975585901</v>
      </c>
      <c r="AP206">
        <v>60.990001678466797</v>
      </c>
      <c r="AQ206">
        <v>61.369998931884702</v>
      </c>
      <c r="AR206">
        <v>60.799999237060497</v>
      </c>
      <c r="AS206">
        <v>61.139999389648402</v>
      </c>
      <c r="AT206">
        <v>58.385673522949197</v>
      </c>
      <c r="AU206">
        <v>10415600</v>
      </c>
      <c r="AV206">
        <v>0.1</v>
      </c>
      <c r="AW206">
        <v>7.08285804085551E-3</v>
      </c>
      <c r="AX206">
        <v>1.3936031416919599E-2</v>
      </c>
      <c r="AY206">
        <v>60.379000091552697</v>
      </c>
      <c r="AZ206">
        <v>4.1230001449584899</v>
      </c>
      <c r="BA206">
        <v>4.13800001144409</v>
      </c>
      <c r="BB206">
        <v>4.1230001449584899</v>
      </c>
      <c r="BC206">
        <v>4.1350002288818297</v>
      </c>
      <c r="BD206">
        <v>4.1350002288818297</v>
      </c>
      <c r="BE206">
        <v>0</v>
      </c>
      <c r="BF206">
        <v>0.5</v>
      </c>
      <c r="BG206">
        <v>5.3489699134643401E-3</v>
      </c>
      <c r="BH206">
        <v>9.6098334526240094E-3</v>
      </c>
      <c r="BI206">
        <v>4.0855000257491998</v>
      </c>
      <c r="BJ206">
        <f t="shared" si="3"/>
        <v>3.3914380530067883E-3</v>
      </c>
    </row>
    <row r="207" spans="1:62">
      <c r="A207" s="2">
        <v>44886</v>
      </c>
      <c r="B207">
        <v>150.16000366210901</v>
      </c>
      <c r="C207">
        <v>150.36999511718699</v>
      </c>
      <c r="D207">
        <v>147.72000122070301</v>
      </c>
      <c r="E207">
        <v>148.009994506835</v>
      </c>
      <c r="F207">
        <v>146.99972534179599</v>
      </c>
      <c r="G207">
        <v>58724100</v>
      </c>
      <c r="H207">
        <v>0.1</v>
      </c>
      <c r="I207">
        <v>-2.16802096956502E-2</v>
      </c>
      <c r="J207">
        <v>3.3653290066163903E-2</v>
      </c>
      <c r="K207">
        <v>146.806996154785</v>
      </c>
      <c r="L207">
        <v>97.290000915527301</v>
      </c>
      <c r="M207">
        <v>98.400001525878906</v>
      </c>
      <c r="N207">
        <v>95.360000610351506</v>
      </c>
      <c r="O207">
        <v>95.599998474121094</v>
      </c>
      <c r="P207">
        <v>95.599998474121094</v>
      </c>
      <c r="Q207">
        <v>21647400</v>
      </c>
      <c r="R207">
        <v>0.1</v>
      </c>
      <c r="S207">
        <v>-1.8782734530664501E-2</v>
      </c>
      <c r="T207">
        <v>3.7482415509520702E-2</v>
      </c>
      <c r="U207">
        <v>95.095000457763604</v>
      </c>
      <c r="V207">
        <v>241.42999267578099</v>
      </c>
      <c r="W207">
        <v>244.669998168945</v>
      </c>
      <c r="X207">
        <v>241.19000244140599</v>
      </c>
      <c r="Y207">
        <v>242.05000305175699</v>
      </c>
      <c r="Z207">
        <v>239.47978210449199</v>
      </c>
      <c r="AA207">
        <v>26394700</v>
      </c>
      <c r="AB207">
        <v>0.1</v>
      </c>
      <c r="AC207">
        <v>3.4408499579405799E-3</v>
      </c>
      <c r="AD207">
        <v>3.2909154223979803E-2</v>
      </c>
      <c r="AE207">
        <v>239.36699829101499</v>
      </c>
      <c r="AF207">
        <v>175.88999938964801</v>
      </c>
      <c r="AG207">
        <v>176.55000305175699</v>
      </c>
      <c r="AH207">
        <v>174.83000183105401</v>
      </c>
      <c r="AI207">
        <v>175.97000122070301</v>
      </c>
      <c r="AJ207">
        <v>169.50047302246</v>
      </c>
      <c r="AK207">
        <v>5706600</v>
      </c>
      <c r="AL207">
        <v>0.1</v>
      </c>
      <c r="AM207">
        <v>-1.3053106215809001E-3</v>
      </c>
      <c r="AN207">
        <v>1.0720099523582501E-2</v>
      </c>
      <c r="AO207">
        <v>173.480000305175</v>
      </c>
      <c r="AP207">
        <v>61.409999847412102</v>
      </c>
      <c r="AQ207">
        <v>62.209999084472599</v>
      </c>
      <c r="AR207">
        <v>61.200000762939403</v>
      </c>
      <c r="AS207">
        <v>62.080001831054602</v>
      </c>
      <c r="AT207">
        <v>59.2833251953125</v>
      </c>
      <c r="AU207">
        <v>15399400</v>
      </c>
      <c r="AV207">
        <v>0.1</v>
      </c>
      <c r="AW207">
        <v>1.5374590297516399E-2</v>
      </c>
      <c r="AX207">
        <v>1.3000019034246401E-2</v>
      </c>
      <c r="AY207">
        <v>60.638000106811504</v>
      </c>
      <c r="AZ207">
        <v>4.1230001449584899</v>
      </c>
      <c r="BA207">
        <v>4.13000011444091</v>
      </c>
      <c r="BB207">
        <v>4.0830001831054599</v>
      </c>
      <c r="BC207">
        <v>4.09800004959106</v>
      </c>
      <c r="BD207">
        <v>4.09800004959106</v>
      </c>
      <c r="BE207">
        <v>0</v>
      </c>
      <c r="BF207">
        <v>0.5</v>
      </c>
      <c r="BG207">
        <v>-8.9480477007801706E-3</v>
      </c>
      <c r="BH207">
        <v>9.9260870992328894E-3</v>
      </c>
      <c r="BI207">
        <v>4.0970000267028803</v>
      </c>
      <c r="BJ207">
        <f t="shared" si="3"/>
        <v>-6.7693053096339476E-3</v>
      </c>
    </row>
    <row r="208" spans="1:62">
      <c r="A208" s="2">
        <v>44887</v>
      </c>
      <c r="B208">
        <v>148.13000488281199</v>
      </c>
      <c r="C208">
        <v>150.419998168945</v>
      </c>
      <c r="D208">
        <v>146.92999267578099</v>
      </c>
      <c r="E208">
        <v>150.17999267578099</v>
      </c>
      <c r="F208">
        <v>149.15489196777301</v>
      </c>
      <c r="G208">
        <v>51804100</v>
      </c>
      <c r="H208">
        <v>0.1</v>
      </c>
      <c r="I208">
        <v>1.4661159715434399E-2</v>
      </c>
      <c r="J208">
        <v>3.3528164968878199E-2</v>
      </c>
      <c r="K208">
        <v>147.87499542236301</v>
      </c>
      <c r="L208">
        <v>95.949996948242102</v>
      </c>
      <c r="M208">
        <v>97.220001220703097</v>
      </c>
      <c r="N208">
        <v>94.050003051757798</v>
      </c>
      <c r="O208">
        <v>97.050003051757798</v>
      </c>
      <c r="P208">
        <v>97.050003051757798</v>
      </c>
      <c r="Q208">
        <v>23438500</v>
      </c>
      <c r="R208">
        <v>0.1</v>
      </c>
      <c r="S208">
        <v>1.51674121420539E-2</v>
      </c>
      <c r="T208">
        <v>3.7370981116383803E-2</v>
      </c>
      <c r="U208">
        <v>95.910000610351503</v>
      </c>
      <c r="V208">
        <v>243.58999633789</v>
      </c>
      <c r="W208">
        <v>245.30999755859301</v>
      </c>
      <c r="X208">
        <v>240.71000671386699</v>
      </c>
      <c r="Y208">
        <v>245.02999877929599</v>
      </c>
      <c r="Z208">
        <v>242.42814636230401</v>
      </c>
      <c r="AA208">
        <v>19665700</v>
      </c>
      <c r="AB208">
        <v>0.1</v>
      </c>
      <c r="AC208">
        <v>1.2311488080840099E-2</v>
      </c>
      <c r="AD208">
        <v>3.2876852720787199E-2</v>
      </c>
      <c r="AE208">
        <v>240.98299865722601</v>
      </c>
      <c r="AF208">
        <v>176.39999389648401</v>
      </c>
      <c r="AG208">
        <v>177.19000244140599</v>
      </c>
      <c r="AH208">
        <v>176.33000183105401</v>
      </c>
      <c r="AI208">
        <v>176.82000732421801</v>
      </c>
      <c r="AJ208">
        <v>170.31922912597599</v>
      </c>
      <c r="AK208">
        <v>4707900</v>
      </c>
      <c r="AL208">
        <v>0.1</v>
      </c>
      <c r="AM208">
        <v>4.8304034643356E-3</v>
      </c>
      <c r="AN208">
        <v>1.0719188132773699E-2</v>
      </c>
      <c r="AO208">
        <v>173.77800140380799</v>
      </c>
      <c r="AP208">
        <v>62.470001220703097</v>
      </c>
      <c r="AQ208">
        <v>62.5</v>
      </c>
      <c r="AR208">
        <v>62.049999237060497</v>
      </c>
      <c r="AS208">
        <v>62.349998474121001</v>
      </c>
      <c r="AT208">
        <v>59.5411567687988</v>
      </c>
      <c r="AU208">
        <v>12319600</v>
      </c>
      <c r="AV208">
        <v>0.1</v>
      </c>
      <c r="AW208">
        <v>4.3491726015276698E-3</v>
      </c>
      <c r="AX208">
        <v>1.2112337117204299E-2</v>
      </c>
      <c r="AY208">
        <v>60.913000106811502</v>
      </c>
      <c r="AZ208">
        <v>4.1999998092651296</v>
      </c>
      <c r="BA208">
        <v>4.2030000686645499</v>
      </c>
      <c r="BB208">
        <v>4.1900000572204501</v>
      </c>
      <c r="BC208">
        <v>4.1979999542236301</v>
      </c>
      <c r="BD208">
        <v>4.1979999542236301</v>
      </c>
      <c r="BE208">
        <v>0</v>
      </c>
      <c r="BF208">
        <v>0.5</v>
      </c>
      <c r="BG208">
        <v>2.4402123821971999E-2</v>
      </c>
      <c r="BH208">
        <v>1.08392087207397E-2</v>
      </c>
      <c r="BI208">
        <v>4.1078000068664497</v>
      </c>
      <c r="BJ208">
        <f t="shared" si="3"/>
        <v>1.7333025511405167E-2</v>
      </c>
    </row>
    <row r="209" spans="1:62">
      <c r="A209" s="2">
        <v>44888</v>
      </c>
      <c r="B209">
        <v>149.44999694824199</v>
      </c>
      <c r="C209">
        <v>151.83000183105401</v>
      </c>
      <c r="D209">
        <v>149.33999633789</v>
      </c>
      <c r="E209">
        <v>151.07000732421801</v>
      </c>
      <c r="F209">
        <v>150.03884887695301</v>
      </c>
      <c r="G209">
        <v>58301400</v>
      </c>
      <c r="H209">
        <v>0.1</v>
      </c>
      <c r="I209">
        <v>5.9263196953200899E-3</v>
      </c>
      <c r="J209">
        <v>3.3234255147565499E-2</v>
      </c>
      <c r="K209">
        <v>149.494996643066</v>
      </c>
      <c r="L209">
        <v>97.089996337890597</v>
      </c>
      <c r="M209">
        <v>98.760002136230398</v>
      </c>
      <c r="N209">
        <v>97.089996337890597</v>
      </c>
      <c r="O209">
        <v>98.459999084472599</v>
      </c>
      <c r="P209">
        <v>98.459999084472599</v>
      </c>
      <c r="Q209">
        <v>18868100</v>
      </c>
      <c r="R209">
        <v>0.1</v>
      </c>
      <c r="S209">
        <v>1.4528552172871899E-2</v>
      </c>
      <c r="T209">
        <v>3.1177420788352402E-2</v>
      </c>
      <c r="U209">
        <v>97.024000549316398</v>
      </c>
      <c r="V209">
        <v>245.11000061035099</v>
      </c>
      <c r="W209">
        <v>248.27999877929599</v>
      </c>
      <c r="X209">
        <v>244.27000427246</v>
      </c>
      <c r="Y209">
        <v>247.58000183105401</v>
      </c>
      <c r="Z209">
        <v>244.95106506347599</v>
      </c>
      <c r="AA209">
        <v>19508500</v>
      </c>
      <c r="AB209">
        <v>0.1</v>
      </c>
      <c r="AC209">
        <v>1.04069014588481E-2</v>
      </c>
      <c r="AD209">
        <v>2.75469654724157E-2</v>
      </c>
      <c r="AE209">
        <v>243.28999938964799</v>
      </c>
      <c r="AF209">
        <v>176.44000244140599</v>
      </c>
      <c r="AG209">
        <v>177.39999389648401</v>
      </c>
      <c r="AH209">
        <v>176.009994506835</v>
      </c>
      <c r="AI209">
        <v>177.009994506835</v>
      </c>
      <c r="AJ209">
        <v>170.50222778320301</v>
      </c>
      <c r="AK209">
        <v>5389200</v>
      </c>
      <c r="AL209">
        <v>0.1</v>
      </c>
      <c r="AM209">
        <v>1.0744665464741301E-3</v>
      </c>
      <c r="AN209">
        <v>1.0593157553763499E-2</v>
      </c>
      <c r="AO209">
        <v>174.234001159667</v>
      </c>
      <c r="AP209">
        <v>62.490001678466797</v>
      </c>
      <c r="AQ209">
        <v>62.790000915527301</v>
      </c>
      <c r="AR209">
        <v>62.299999237060497</v>
      </c>
      <c r="AS209">
        <v>62.630001068115199</v>
      </c>
      <c r="AT209">
        <v>59.808544158935497</v>
      </c>
      <c r="AU209">
        <v>8990400</v>
      </c>
      <c r="AV209">
        <v>0.1</v>
      </c>
      <c r="AW209">
        <v>4.4908195805386502E-3</v>
      </c>
      <c r="AX209">
        <v>1.2071249547061499E-2</v>
      </c>
      <c r="AY209">
        <v>61.2990001678466</v>
      </c>
      <c r="AZ209">
        <v>4.2049999237060502</v>
      </c>
      <c r="BA209">
        <v>4.2150001525878897</v>
      </c>
      <c r="BB209">
        <v>4.1680002212524396</v>
      </c>
      <c r="BC209">
        <v>4.1999998092651296</v>
      </c>
      <c r="BD209">
        <v>4.1999998092651296</v>
      </c>
      <c r="BE209">
        <v>0</v>
      </c>
      <c r="BF209">
        <v>0.5</v>
      </c>
      <c r="BG209">
        <v>4.7638281641515501E-4</v>
      </c>
      <c r="BH209">
        <v>1.05032073672649E-2</v>
      </c>
      <c r="BI209">
        <v>4.1184999942779497</v>
      </c>
      <c r="BJ209">
        <f t="shared" si="3"/>
        <v>3.880897353612865E-3</v>
      </c>
    </row>
    <row r="210" spans="1:62">
      <c r="A210" s="2">
        <v>44890</v>
      </c>
      <c r="B210">
        <v>148.30999755859301</v>
      </c>
      <c r="C210">
        <v>148.88000488281199</v>
      </c>
      <c r="D210">
        <v>147.11999511718699</v>
      </c>
      <c r="E210">
        <v>148.11000061035099</v>
      </c>
      <c r="F210">
        <v>147.09904479980401</v>
      </c>
      <c r="G210">
        <v>35195900</v>
      </c>
      <c r="H210">
        <v>0.1</v>
      </c>
      <c r="I210">
        <v>-1.9593609388755501E-2</v>
      </c>
      <c r="J210">
        <v>3.2776839678883098E-2</v>
      </c>
      <c r="K210">
        <v>149.61899719238201</v>
      </c>
      <c r="L210">
        <v>98.239997863769503</v>
      </c>
      <c r="M210">
        <v>98.639999389648395</v>
      </c>
      <c r="N210">
        <v>97.400001525878906</v>
      </c>
      <c r="O210">
        <v>97.459999084472599</v>
      </c>
      <c r="P210">
        <v>97.459999084472599</v>
      </c>
      <c r="Q210">
        <v>9701400</v>
      </c>
      <c r="R210">
        <v>0.1</v>
      </c>
      <c r="S210">
        <v>-1.0156408788324901E-2</v>
      </c>
      <c r="T210">
        <v>3.04837154256037E-2</v>
      </c>
      <c r="U210">
        <v>97.376000213623001</v>
      </c>
      <c r="V210">
        <v>247.30999755859301</v>
      </c>
      <c r="W210">
        <v>248.69999694824199</v>
      </c>
      <c r="X210">
        <v>246.72999572753901</v>
      </c>
      <c r="Y210">
        <v>247.49000549316401</v>
      </c>
      <c r="Z210">
        <v>244.86199951171801</v>
      </c>
      <c r="AA210">
        <v>9200800</v>
      </c>
      <c r="AB210">
        <v>0.1</v>
      </c>
      <c r="AC210">
        <v>-3.6350406828111699E-4</v>
      </c>
      <c r="AD210">
        <v>2.7011945926672401E-2</v>
      </c>
      <c r="AE210">
        <v>243.74100036620999</v>
      </c>
      <c r="AF210">
        <v>177.38000488281199</v>
      </c>
      <c r="AG210">
        <v>178.11999511718699</v>
      </c>
      <c r="AH210">
        <v>176.86000061035099</v>
      </c>
      <c r="AI210">
        <v>177.24000549316401</v>
      </c>
      <c r="AJ210">
        <v>170.72377014160099</v>
      </c>
      <c r="AK210">
        <v>3058600</v>
      </c>
      <c r="AL210">
        <v>0.1</v>
      </c>
      <c r="AM210">
        <v>1.2994237244565699E-3</v>
      </c>
      <c r="AN210">
        <v>1.05913460878726E-2</v>
      </c>
      <c r="AO210">
        <v>174.51100158691401</v>
      </c>
      <c r="AP210">
        <v>62.7299995422363</v>
      </c>
      <c r="AQ210">
        <v>62.810001373291001</v>
      </c>
      <c r="AR210">
        <v>62.380001068115199</v>
      </c>
      <c r="AS210">
        <v>62.689998626708899</v>
      </c>
      <c r="AT210">
        <v>59.865837097167898</v>
      </c>
      <c r="AU210">
        <v>5165500</v>
      </c>
      <c r="AV210">
        <v>0.1</v>
      </c>
      <c r="AW210">
        <v>9.5796834696670798E-4</v>
      </c>
      <c r="AX210">
        <v>1.2077565228283901E-2</v>
      </c>
      <c r="AY210">
        <v>61.479999923706004</v>
      </c>
      <c r="AZ210">
        <v>4.1750001907348597</v>
      </c>
      <c r="BA210">
        <v>4.1880002021789497</v>
      </c>
      <c r="BB210">
        <v>4.1449999809265101</v>
      </c>
      <c r="BC210">
        <v>4.1750001907348597</v>
      </c>
      <c r="BD210">
        <v>4.1750001907348597</v>
      </c>
      <c r="BE210">
        <v>0</v>
      </c>
      <c r="BF210">
        <v>0.5</v>
      </c>
      <c r="BG210">
        <v>-5.9522903965672997E-3</v>
      </c>
      <c r="BH210">
        <v>1.06867394781944E-2</v>
      </c>
      <c r="BI210">
        <v>4.1305000305175703</v>
      </c>
      <c r="BJ210">
        <f t="shared" si="3"/>
        <v>-5.7617582156774746E-3</v>
      </c>
    </row>
    <row r="211" spans="1:62">
      <c r="A211" s="2">
        <v>44893</v>
      </c>
      <c r="B211">
        <v>145.13999938964801</v>
      </c>
      <c r="C211">
        <v>146.63999938964801</v>
      </c>
      <c r="D211">
        <v>143.38000488281199</v>
      </c>
      <c r="E211">
        <v>144.22000122070301</v>
      </c>
      <c r="F211">
        <v>143.23561096191401</v>
      </c>
      <c r="G211">
        <v>69246000</v>
      </c>
      <c r="H211">
        <v>0.1</v>
      </c>
      <c r="I211">
        <v>-2.6264258818567299E-2</v>
      </c>
      <c r="J211">
        <v>2.8290510270157901E-2</v>
      </c>
      <c r="K211">
        <v>149.070997619628</v>
      </c>
      <c r="L211">
        <v>97.040000915527301</v>
      </c>
      <c r="M211">
        <v>97.580001831054602</v>
      </c>
      <c r="N211">
        <v>95.610000610351506</v>
      </c>
      <c r="O211">
        <v>96.050003051757798</v>
      </c>
      <c r="P211">
        <v>96.050003051757798</v>
      </c>
      <c r="Q211">
        <v>26237500</v>
      </c>
      <c r="R211">
        <v>0.1</v>
      </c>
      <c r="S211">
        <v>-1.44674332645206E-2</v>
      </c>
      <c r="T211">
        <v>2.9128725638211901E-2</v>
      </c>
      <c r="U211">
        <v>97.340000152587805</v>
      </c>
      <c r="V211">
        <v>246.08000183105401</v>
      </c>
      <c r="W211">
        <v>246.64999389648401</v>
      </c>
      <c r="X211">
        <v>240.80000305175699</v>
      </c>
      <c r="Y211">
        <v>241.759994506835</v>
      </c>
      <c r="Z211">
        <v>239.19284057617099</v>
      </c>
      <c r="AA211">
        <v>24778200</v>
      </c>
      <c r="AB211">
        <v>0.1</v>
      </c>
      <c r="AC211">
        <v>-2.3152494481181701E-2</v>
      </c>
      <c r="AD211">
        <v>2.6337493357829901E-2</v>
      </c>
      <c r="AE211">
        <v>243.20599975585901</v>
      </c>
      <c r="AF211">
        <v>176.75</v>
      </c>
      <c r="AG211">
        <v>177.77000427246</v>
      </c>
      <c r="AH211">
        <v>176.55999755859301</v>
      </c>
      <c r="AI211">
        <v>177.33000183105401</v>
      </c>
      <c r="AJ211">
        <v>170.81047058105401</v>
      </c>
      <c r="AK211">
        <v>6183100</v>
      </c>
      <c r="AL211">
        <v>0.1</v>
      </c>
      <c r="AM211">
        <v>5.0776537520524901E-4</v>
      </c>
      <c r="AN211">
        <v>1.0111584239707899E-2</v>
      </c>
      <c r="AO211">
        <v>175.31900177001901</v>
      </c>
      <c r="AP211">
        <v>62.689998626708899</v>
      </c>
      <c r="AQ211">
        <v>63.099998474121001</v>
      </c>
      <c r="AR211">
        <v>62.560001373291001</v>
      </c>
      <c r="AS211">
        <v>62.700000762939403</v>
      </c>
      <c r="AT211">
        <v>59.875396728515597</v>
      </c>
      <c r="AU211">
        <v>12267500</v>
      </c>
      <c r="AV211">
        <v>0.1</v>
      </c>
      <c r="AW211">
        <v>1.5954915376581401E-4</v>
      </c>
      <c r="AX211">
        <v>1.13150434911888E-2</v>
      </c>
      <c r="AY211">
        <v>61.6180000305175</v>
      </c>
      <c r="AZ211">
        <v>4.1750001907348597</v>
      </c>
      <c r="BA211">
        <v>4.1900000572204501</v>
      </c>
      <c r="BB211">
        <v>4.1479997634887598</v>
      </c>
      <c r="BC211">
        <v>4.18300008773803</v>
      </c>
      <c r="BD211">
        <v>4.18300008773803</v>
      </c>
      <c r="BE211">
        <v>0</v>
      </c>
      <c r="BF211">
        <v>0.5</v>
      </c>
      <c r="BG211">
        <v>1.9161429072331801E-3</v>
      </c>
      <c r="BH211">
        <v>1.0556897981824499E-2</v>
      </c>
      <c r="BI211">
        <v>4.1425000190734798</v>
      </c>
      <c r="BJ211">
        <f t="shared" si="3"/>
        <v>-5.3636157499132638E-3</v>
      </c>
    </row>
    <row r="212" spans="1:62">
      <c r="A212" s="2">
        <v>44894</v>
      </c>
      <c r="B212">
        <v>144.28999328613199</v>
      </c>
      <c r="C212">
        <v>144.80999755859301</v>
      </c>
      <c r="D212">
        <v>140.350006103515</v>
      </c>
      <c r="E212">
        <v>141.169998168945</v>
      </c>
      <c r="F212">
        <v>140.20640563964801</v>
      </c>
      <c r="G212">
        <v>83763800</v>
      </c>
      <c r="H212">
        <v>0.1</v>
      </c>
      <c r="I212">
        <v>-2.11482667171131E-2</v>
      </c>
      <c r="J212">
        <v>2.8446699552761901E-2</v>
      </c>
      <c r="K212">
        <v>148.35999755859299</v>
      </c>
      <c r="L212">
        <v>95.730003356933594</v>
      </c>
      <c r="M212">
        <v>96.120002746582003</v>
      </c>
      <c r="N212">
        <v>94.110000610351506</v>
      </c>
      <c r="O212">
        <v>95.190002441406193</v>
      </c>
      <c r="P212">
        <v>95.190002441406193</v>
      </c>
      <c r="Q212">
        <v>20061700</v>
      </c>
      <c r="R212">
        <v>0.1</v>
      </c>
      <c r="S212">
        <v>-8.9536760335981996E-3</v>
      </c>
      <c r="T212">
        <v>2.8882572430776798E-2</v>
      </c>
      <c r="U212">
        <v>97.2890007019043</v>
      </c>
      <c r="V212">
        <v>241.39999389648401</v>
      </c>
      <c r="W212">
        <v>242.78999328613199</v>
      </c>
      <c r="X212">
        <v>238.21000671386699</v>
      </c>
      <c r="Y212">
        <v>240.33000183105401</v>
      </c>
      <c r="Z212">
        <v>237.77804565429599</v>
      </c>
      <c r="AA212">
        <v>17956300</v>
      </c>
      <c r="AB212">
        <v>0.1</v>
      </c>
      <c r="AC212">
        <v>-5.9149268211156E-3</v>
      </c>
      <c r="AD212">
        <v>2.60841774437576E-2</v>
      </c>
      <c r="AE212">
        <v>243.08399963378901</v>
      </c>
      <c r="AF212">
        <v>177.009994506835</v>
      </c>
      <c r="AG212">
        <v>177.259994506835</v>
      </c>
      <c r="AH212">
        <v>174.66000366210901</v>
      </c>
      <c r="AI212">
        <v>176.08999633789</v>
      </c>
      <c r="AJ212">
        <v>169.61605834960901</v>
      </c>
      <c r="AK212">
        <v>6700500</v>
      </c>
      <c r="AL212">
        <v>0.1</v>
      </c>
      <c r="AM212">
        <v>-6.99264354796225E-3</v>
      </c>
      <c r="AN212">
        <v>1.01764379814544E-2</v>
      </c>
      <c r="AO212">
        <v>175.737001037597</v>
      </c>
      <c r="AP212">
        <v>62.520000457763601</v>
      </c>
      <c r="AQ212">
        <v>62.569999694824197</v>
      </c>
      <c r="AR212">
        <v>61.9799995422363</v>
      </c>
      <c r="AS212">
        <v>62.4799995422363</v>
      </c>
      <c r="AT212">
        <v>59.665306091308501</v>
      </c>
      <c r="AU212">
        <v>10969600</v>
      </c>
      <c r="AV212">
        <v>0.1</v>
      </c>
      <c r="AW212">
        <v>-3.50879135607862E-3</v>
      </c>
      <c r="AX212">
        <v>1.0703039919156001E-2</v>
      </c>
      <c r="AY212">
        <v>61.793000030517497</v>
      </c>
      <c r="AZ212">
        <v>4.2750000953674299</v>
      </c>
      <c r="BA212">
        <v>4.2800002098083496</v>
      </c>
      <c r="BB212">
        <v>4.2399997711181596</v>
      </c>
      <c r="BC212">
        <v>4.2529997825622496</v>
      </c>
      <c r="BD212">
        <v>4.2529997825622496</v>
      </c>
      <c r="BE212">
        <v>0</v>
      </c>
      <c r="BF212">
        <v>0.5</v>
      </c>
      <c r="BG212">
        <v>1.6734327840301599E-2</v>
      </c>
      <c r="BH212">
        <v>1.10057123587168E-2</v>
      </c>
      <c r="BI212">
        <v>4.1610000133514404</v>
      </c>
      <c r="BJ212">
        <f t="shared" si="3"/>
        <v>3.715333472564023E-3</v>
      </c>
    </row>
    <row r="213" spans="1:62">
      <c r="A213" s="2">
        <v>44895</v>
      </c>
      <c r="B213">
        <v>141.39999389648401</v>
      </c>
      <c r="C213">
        <v>148.72000122070301</v>
      </c>
      <c r="D213">
        <v>140.55000305175699</v>
      </c>
      <c r="E213">
        <v>148.02999877929599</v>
      </c>
      <c r="F213">
        <v>147.01957702636699</v>
      </c>
      <c r="G213">
        <v>111380900</v>
      </c>
      <c r="H213">
        <v>0.1</v>
      </c>
      <c r="I213">
        <v>4.8593898840615102E-2</v>
      </c>
      <c r="J213">
        <v>3.0527056607556401E-2</v>
      </c>
      <c r="K213">
        <v>148.15899810791001</v>
      </c>
      <c r="L213">
        <v>94.819999694824205</v>
      </c>
      <c r="M213">
        <v>101.040000915527</v>
      </c>
      <c r="N213">
        <v>94.419998168945298</v>
      </c>
      <c r="O213">
        <v>100.98999786376901</v>
      </c>
      <c r="P213">
        <v>100.98999786376901</v>
      </c>
      <c r="Q213">
        <v>43647500</v>
      </c>
      <c r="R213">
        <v>0.1</v>
      </c>
      <c r="S213">
        <v>6.0930720386664902E-2</v>
      </c>
      <c r="T213">
        <v>2.99491974878313E-2</v>
      </c>
      <c r="U213">
        <v>97.544000244140605</v>
      </c>
      <c r="V213">
        <v>240.57000732421801</v>
      </c>
      <c r="W213">
        <v>255.33000183105401</v>
      </c>
      <c r="X213">
        <v>239.86000061035099</v>
      </c>
      <c r="Y213">
        <v>255.13999938964801</v>
      </c>
      <c r="Z213">
        <v>252.43077087402301</v>
      </c>
      <c r="AA213">
        <v>47594200</v>
      </c>
      <c r="AB213">
        <v>0.1</v>
      </c>
      <c r="AC213">
        <v>6.1623590254057101E-2</v>
      </c>
      <c r="AD213">
        <v>2.8838153895702299E-2</v>
      </c>
      <c r="AE213">
        <v>244.400999450683</v>
      </c>
      <c r="AF213">
        <v>176.36999511718699</v>
      </c>
      <c r="AG213">
        <v>178.009994506835</v>
      </c>
      <c r="AH213">
        <v>174.77999877929599</v>
      </c>
      <c r="AI213">
        <v>178</v>
      </c>
      <c r="AJ213">
        <v>171.45584106445301</v>
      </c>
      <c r="AK213">
        <v>13288000</v>
      </c>
      <c r="AL213">
        <v>0.1</v>
      </c>
      <c r="AM213">
        <v>1.0846747128351E-2</v>
      </c>
      <c r="AN213">
        <v>1.0326778478962399E-2</v>
      </c>
      <c r="AO213">
        <v>176.298001098632</v>
      </c>
      <c r="AP213">
        <v>62.009998321533203</v>
      </c>
      <c r="AQ213">
        <v>63.680000305175703</v>
      </c>
      <c r="AR213">
        <v>61.75</v>
      </c>
      <c r="AS213">
        <v>63.610000610351499</v>
      </c>
      <c r="AT213">
        <v>61.175205230712798</v>
      </c>
      <c r="AU213">
        <v>30433900</v>
      </c>
      <c r="AV213">
        <v>0.1</v>
      </c>
      <c r="AW213">
        <v>1.8085804679805501E-2</v>
      </c>
      <c r="AX213">
        <v>1.1174980492904101E-2</v>
      </c>
      <c r="AY213">
        <v>62.090999984741202</v>
      </c>
      <c r="AZ213">
        <v>4.2529997825622496</v>
      </c>
      <c r="BA213">
        <v>4.2699999809265101</v>
      </c>
      <c r="BB213">
        <v>4.1999998092651296</v>
      </c>
      <c r="BC213">
        <v>4.2529997825622496</v>
      </c>
      <c r="BD213">
        <v>4.2529997825622496</v>
      </c>
      <c r="BE213">
        <v>0</v>
      </c>
      <c r="BF213">
        <v>0.5</v>
      </c>
      <c r="BG213">
        <v>0</v>
      </c>
      <c r="BH213">
        <v>1.04062237290709E-2</v>
      </c>
      <c r="BI213">
        <v>4.17329998016357</v>
      </c>
      <c r="BJ213">
        <f t="shared" si="3"/>
        <v>2.0008076128949361E-2</v>
      </c>
    </row>
    <row r="214" spans="1:62">
      <c r="A214" s="2">
        <v>44896</v>
      </c>
      <c r="B214">
        <v>148.21000671386699</v>
      </c>
      <c r="C214">
        <v>149.13000488281199</v>
      </c>
      <c r="D214">
        <v>146.61000061035099</v>
      </c>
      <c r="E214">
        <v>148.30999755859301</v>
      </c>
      <c r="F214">
        <v>147.29766845703099</v>
      </c>
      <c r="G214">
        <v>71250400</v>
      </c>
      <c r="H214">
        <v>0.1</v>
      </c>
      <c r="I214">
        <v>1.8915002472865701E-3</v>
      </c>
      <c r="J214">
        <v>2.92682887844192E-2</v>
      </c>
      <c r="K214">
        <v>148.110998535156</v>
      </c>
      <c r="L214">
        <v>101.01999664306599</v>
      </c>
      <c r="M214">
        <v>102.25</v>
      </c>
      <c r="N214">
        <v>100.25</v>
      </c>
      <c r="O214">
        <v>100.98999786376901</v>
      </c>
      <c r="P214">
        <v>100.98999786376901</v>
      </c>
      <c r="Q214">
        <v>28687100</v>
      </c>
      <c r="R214">
        <v>0.1</v>
      </c>
      <c r="S214">
        <v>0</v>
      </c>
      <c r="T214">
        <v>2.8108338217647501E-2</v>
      </c>
      <c r="U214">
        <v>97.758000183105395</v>
      </c>
      <c r="V214">
        <v>253.86999511718699</v>
      </c>
      <c r="W214">
        <v>256.11999511718699</v>
      </c>
      <c r="X214">
        <v>250.919998168945</v>
      </c>
      <c r="Y214">
        <v>254.69000244140599</v>
      </c>
      <c r="Z214">
        <v>251.98554992675699</v>
      </c>
      <c r="AA214">
        <v>26041500</v>
      </c>
      <c r="AB214">
        <v>0.1</v>
      </c>
      <c r="AC214">
        <v>-1.7637255989600899E-3</v>
      </c>
      <c r="AD214">
        <v>2.7236285252074801E-2</v>
      </c>
      <c r="AE214">
        <v>245.69700012206999</v>
      </c>
      <c r="AF214">
        <v>179</v>
      </c>
      <c r="AG214">
        <v>179.96000671386699</v>
      </c>
      <c r="AH214">
        <v>177.77000427246</v>
      </c>
      <c r="AI214">
        <v>178.74000549316401</v>
      </c>
      <c r="AJ214">
        <v>172.16864013671801</v>
      </c>
      <c r="AK214">
        <v>6282600</v>
      </c>
      <c r="AL214">
        <v>0.1</v>
      </c>
      <c r="AM214">
        <v>4.1573342312588501E-3</v>
      </c>
      <c r="AN214">
        <v>9.5465879848879703E-3</v>
      </c>
      <c r="AO214">
        <v>176.826000976562</v>
      </c>
      <c r="AP214">
        <v>63.610000610351499</v>
      </c>
      <c r="AQ214">
        <v>64.110000610351506</v>
      </c>
      <c r="AR214">
        <v>63.430000305175703</v>
      </c>
      <c r="AS214">
        <v>63.790000915527301</v>
      </c>
      <c r="AT214">
        <v>61.348316192626903</v>
      </c>
      <c r="AU214">
        <v>12001400</v>
      </c>
      <c r="AV214">
        <v>0.1</v>
      </c>
      <c r="AW214">
        <v>2.82974852143746E-3</v>
      </c>
      <c r="AX214">
        <v>1.0420045590828901E-2</v>
      </c>
      <c r="AY214">
        <v>62.418000030517497</v>
      </c>
      <c r="AZ214">
        <v>4.2129998207092196</v>
      </c>
      <c r="BA214">
        <v>4.22300004959106</v>
      </c>
      <c r="BB214">
        <v>4.1680002212524396</v>
      </c>
      <c r="BC214">
        <v>4.1929998397827104</v>
      </c>
      <c r="BD214">
        <v>4.1929998397827104</v>
      </c>
      <c r="BE214">
        <v>0</v>
      </c>
      <c r="BF214">
        <v>0.5</v>
      </c>
      <c r="BG214">
        <v>-1.4107675957460999E-2</v>
      </c>
      <c r="BH214">
        <v>1.0894077056917599E-2</v>
      </c>
      <c r="BI214">
        <v>4.1800999641418404</v>
      </c>
      <c r="BJ214">
        <f t="shared" si="3"/>
        <v>-6.3423522386282204E-3</v>
      </c>
    </row>
    <row r="215" spans="1:62">
      <c r="A215" s="2">
        <v>44897</v>
      </c>
      <c r="B215">
        <v>145.96000671386699</v>
      </c>
      <c r="C215">
        <v>148</v>
      </c>
      <c r="D215">
        <v>145.64999389648401</v>
      </c>
      <c r="E215">
        <v>147.80999755859301</v>
      </c>
      <c r="F215">
        <v>146.80110168457</v>
      </c>
      <c r="G215">
        <v>65447400</v>
      </c>
      <c r="H215">
        <v>0.1</v>
      </c>
      <c r="I215">
        <v>-3.3713168918532098E-3</v>
      </c>
      <c r="J215">
        <v>2.7429030617804599E-2</v>
      </c>
      <c r="K215">
        <v>147.81999816894501</v>
      </c>
      <c r="L215">
        <v>99.050003051757798</v>
      </c>
      <c r="M215">
        <v>100.76999664306599</v>
      </c>
      <c r="N215">
        <v>98.900001525878906</v>
      </c>
      <c r="O215">
        <v>100.44000244140599</v>
      </c>
      <c r="P215">
        <v>100.44000244140599</v>
      </c>
      <c r="Q215">
        <v>21480700</v>
      </c>
      <c r="R215">
        <v>0.1</v>
      </c>
      <c r="S215">
        <v>-5.4460385582460998E-3</v>
      </c>
      <c r="T215">
        <v>2.5922324927511901E-2</v>
      </c>
      <c r="U215">
        <v>97.966000366210906</v>
      </c>
      <c r="V215">
        <v>249.82000732421801</v>
      </c>
      <c r="W215">
        <v>256.05999755859301</v>
      </c>
      <c r="X215">
        <v>249.69000244140599</v>
      </c>
      <c r="Y215">
        <v>255.02000427246</v>
      </c>
      <c r="Z215">
        <v>252.31205749511699</v>
      </c>
      <c r="AA215">
        <v>21528500</v>
      </c>
      <c r="AB215">
        <v>0.1</v>
      </c>
      <c r="AC215">
        <v>1.2956999799418299E-3</v>
      </c>
      <c r="AD215">
        <v>2.6080282329269702E-2</v>
      </c>
      <c r="AE215">
        <v>247.03100128173801</v>
      </c>
      <c r="AF215">
        <v>177.5</v>
      </c>
      <c r="AG215">
        <v>178.96000671386699</v>
      </c>
      <c r="AH215">
        <v>176.96000671386699</v>
      </c>
      <c r="AI215">
        <v>178.88000488281199</v>
      </c>
      <c r="AJ215">
        <v>172.30348205566401</v>
      </c>
      <c r="AK215">
        <v>5823900</v>
      </c>
      <c r="AL215">
        <v>0.1</v>
      </c>
      <c r="AM215">
        <v>7.8325716317495498E-4</v>
      </c>
      <c r="AN215">
        <v>9.5524671530105906E-3</v>
      </c>
      <c r="AO215">
        <v>177.22800140380801</v>
      </c>
      <c r="AP215">
        <v>63.610000610351499</v>
      </c>
      <c r="AQ215">
        <v>64.519996643066406</v>
      </c>
      <c r="AR215">
        <v>63.400001525878899</v>
      </c>
      <c r="AS215">
        <v>64.349998474121094</v>
      </c>
      <c r="AT215">
        <v>61.886878967285099</v>
      </c>
      <c r="AU215">
        <v>13643500</v>
      </c>
      <c r="AV215">
        <v>0.1</v>
      </c>
      <c r="AW215">
        <v>8.7787670568513203E-3</v>
      </c>
      <c r="AX215">
        <v>1.04096550862558E-2</v>
      </c>
      <c r="AY215">
        <v>62.781999969482399</v>
      </c>
      <c r="AZ215">
        <v>4.17000007629394</v>
      </c>
      <c r="BA215">
        <v>4.21000003814697</v>
      </c>
      <c r="BB215">
        <v>4.1430001258850098</v>
      </c>
      <c r="BC215">
        <v>4.2080001831054599</v>
      </c>
      <c r="BD215">
        <v>4.2080001831054599</v>
      </c>
      <c r="BE215">
        <v>0</v>
      </c>
      <c r="BF215">
        <v>0.5</v>
      </c>
      <c r="BG215">
        <v>3.5774729062549799E-3</v>
      </c>
      <c r="BH215">
        <v>1.0887105241021299E-2</v>
      </c>
      <c r="BI215">
        <v>4.1895999908447203</v>
      </c>
      <c r="BJ215">
        <f t="shared" si="3"/>
        <v>1.9927733281143696E-3</v>
      </c>
    </row>
    <row r="216" spans="1:62">
      <c r="A216" s="2">
        <v>44900</v>
      </c>
      <c r="B216">
        <v>147.77000427246</v>
      </c>
      <c r="C216">
        <v>150.919998168945</v>
      </c>
      <c r="D216">
        <v>145.77000427246</v>
      </c>
      <c r="E216">
        <v>146.63000488281199</v>
      </c>
      <c r="F216">
        <v>145.629150390625</v>
      </c>
      <c r="G216">
        <v>68826400</v>
      </c>
      <c r="H216">
        <v>0.1</v>
      </c>
      <c r="I216">
        <v>-7.9831722838198393E-3</v>
      </c>
      <c r="J216">
        <v>2.7505872964910201E-2</v>
      </c>
      <c r="K216">
        <v>147.35399932861301</v>
      </c>
      <c r="L216">
        <v>99.400001525878906</v>
      </c>
      <c r="M216">
        <v>101.379997253417</v>
      </c>
      <c r="N216">
        <v>99</v>
      </c>
      <c r="O216">
        <v>99.480003356933594</v>
      </c>
      <c r="P216">
        <v>99.480003356933594</v>
      </c>
      <c r="Q216">
        <v>24405100</v>
      </c>
      <c r="R216">
        <v>0.1</v>
      </c>
      <c r="S216">
        <v>-9.5579356943234998E-3</v>
      </c>
      <c r="T216">
        <v>2.5373676029902498E-2</v>
      </c>
      <c r="U216">
        <v>98.171000671386693</v>
      </c>
      <c r="V216">
        <v>252.009994506835</v>
      </c>
      <c r="W216">
        <v>253.82000732421801</v>
      </c>
      <c r="X216">
        <v>248.05999755859301</v>
      </c>
      <c r="Y216">
        <v>250.19999694824199</v>
      </c>
      <c r="Z216">
        <v>247.54322814941401</v>
      </c>
      <c r="AA216">
        <v>23435300</v>
      </c>
      <c r="AB216">
        <v>0.1</v>
      </c>
      <c r="AC216">
        <v>-1.8900506797376902E-2</v>
      </c>
      <c r="AD216">
        <v>2.61374277176585E-2</v>
      </c>
      <c r="AE216">
        <v>247.92900085449199</v>
      </c>
      <c r="AF216">
        <v>178.36000061035099</v>
      </c>
      <c r="AG216">
        <v>179.36000061035099</v>
      </c>
      <c r="AH216">
        <v>178</v>
      </c>
      <c r="AI216">
        <v>178.77999877929599</v>
      </c>
      <c r="AJ216">
        <v>172.20716857910099</v>
      </c>
      <c r="AK216">
        <v>5120600</v>
      </c>
      <c r="AL216">
        <v>0.1</v>
      </c>
      <c r="AM216">
        <v>-5.5906809473282805E-4</v>
      </c>
      <c r="AN216">
        <v>9.56100621030548E-3</v>
      </c>
      <c r="AO216">
        <v>177.486001586914</v>
      </c>
      <c r="AP216">
        <v>63.409999847412102</v>
      </c>
      <c r="AQ216">
        <v>63.799999237060497</v>
      </c>
      <c r="AR216">
        <v>63.259998321533203</v>
      </c>
      <c r="AS216">
        <v>63.470001220703097</v>
      </c>
      <c r="AT216">
        <v>61.040565490722599</v>
      </c>
      <c r="AU216">
        <v>9185100</v>
      </c>
      <c r="AV216">
        <v>0.1</v>
      </c>
      <c r="AW216">
        <v>-1.36751713175543E-2</v>
      </c>
      <c r="AX216">
        <v>1.11349170566146E-2</v>
      </c>
      <c r="AY216">
        <v>63.015000152587803</v>
      </c>
      <c r="AZ216">
        <v>4.1779999732971103</v>
      </c>
      <c r="BA216">
        <v>4.1950001716613698</v>
      </c>
      <c r="BB216">
        <v>4.1550002098083496</v>
      </c>
      <c r="BC216">
        <v>4.1579999923706001</v>
      </c>
      <c r="BD216">
        <v>4.1579999923706001</v>
      </c>
      <c r="BE216">
        <v>0</v>
      </c>
      <c r="BF216">
        <v>0.5</v>
      </c>
      <c r="BG216">
        <v>-1.18821740872557E-2</v>
      </c>
      <c r="BH216">
        <v>1.1288096360349401E-2</v>
      </c>
      <c r="BI216">
        <v>4.1918999671936001</v>
      </c>
      <c r="BJ216">
        <f t="shared" si="3"/>
        <v>-1.1008672462408586E-2</v>
      </c>
    </row>
    <row r="217" spans="1:62">
      <c r="A217" s="2">
        <v>44901</v>
      </c>
      <c r="B217">
        <v>147.07000732421801</v>
      </c>
      <c r="C217">
        <v>147.30000305175699</v>
      </c>
      <c r="D217">
        <v>141.919998168945</v>
      </c>
      <c r="E217">
        <v>142.91000366210901</v>
      </c>
      <c r="F217">
        <v>141.93453979492099</v>
      </c>
      <c r="G217">
        <v>64727200</v>
      </c>
      <c r="H217">
        <v>0.1</v>
      </c>
      <c r="I217">
        <v>-2.5369986338581601E-2</v>
      </c>
      <c r="J217">
        <v>2.8238300534774701E-2</v>
      </c>
      <c r="K217">
        <v>146.84400024414001</v>
      </c>
      <c r="L217">
        <v>99.300003051757798</v>
      </c>
      <c r="M217">
        <v>99.779998779296804</v>
      </c>
      <c r="N217">
        <v>96.419998168945298</v>
      </c>
      <c r="O217">
        <v>96.980003356933594</v>
      </c>
      <c r="P217">
        <v>96.980003356933594</v>
      </c>
      <c r="Q217">
        <v>24910700</v>
      </c>
      <c r="R217">
        <v>0.1</v>
      </c>
      <c r="S217">
        <v>-2.51306786855446E-2</v>
      </c>
      <c r="T217">
        <v>2.6108996552799899E-2</v>
      </c>
      <c r="U217">
        <v>98.309001159667901</v>
      </c>
      <c r="V217">
        <v>250.82000732421801</v>
      </c>
      <c r="W217">
        <v>251.86000061035099</v>
      </c>
      <c r="X217">
        <v>243.77999877929599</v>
      </c>
      <c r="Y217">
        <v>245.11999511718699</v>
      </c>
      <c r="Z217">
        <v>242.517166137695</v>
      </c>
      <c r="AA217">
        <v>22463700</v>
      </c>
      <c r="AB217">
        <v>0.1</v>
      </c>
      <c r="AC217">
        <v>-2.0303764560419098E-2</v>
      </c>
      <c r="AD217">
        <v>2.6209940176126802E-2</v>
      </c>
      <c r="AE217">
        <v>248.23600006103501</v>
      </c>
      <c r="AF217">
        <v>179.919998168945</v>
      </c>
      <c r="AG217">
        <v>180</v>
      </c>
      <c r="AH217">
        <v>175.92999267578099</v>
      </c>
      <c r="AI217">
        <v>176.100006103515</v>
      </c>
      <c r="AJ217">
        <v>169.625717163085</v>
      </c>
      <c r="AK217">
        <v>7943500</v>
      </c>
      <c r="AL217">
        <v>0.1</v>
      </c>
      <c r="AM217">
        <v>-1.4990450240967301E-2</v>
      </c>
      <c r="AN217">
        <v>1.0151517309885E-2</v>
      </c>
      <c r="AO217">
        <v>177.49900207519499</v>
      </c>
      <c r="AP217">
        <v>63.520000457763601</v>
      </c>
      <c r="AQ217">
        <v>63.880001068115199</v>
      </c>
      <c r="AR217">
        <v>63.2299995422363</v>
      </c>
      <c r="AS217">
        <v>63.439998626708899</v>
      </c>
      <c r="AT217">
        <v>61.011714935302699</v>
      </c>
      <c r="AU217">
        <v>10099500</v>
      </c>
      <c r="AV217">
        <v>0.1</v>
      </c>
      <c r="AW217">
        <v>-4.7270511134567202E-4</v>
      </c>
      <c r="AX217">
        <v>1.1169493021096001E-2</v>
      </c>
      <c r="AY217">
        <v>63.150999832153303</v>
      </c>
      <c r="AZ217">
        <v>4.2449998855590803</v>
      </c>
      <c r="BA217">
        <v>4.25</v>
      </c>
      <c r="BB217">
        <v>4.1999998092651296</v>
      </c>
      <c r="BC217">
        <v>4.2199997901916504</v>
      </c>
      <c r="BD217">
        <v>4.2199997901916504</v>
      </c>
      <c r="BE217">
        <v>0</v>
      </c>
      <c r="BF217">
        <v>0.5</v>
      </c>
      <c r="BG217">
        <v>1.49109663142872E-2</v>
      </c>
      <c r="BH217">
        <v>1.14252098492781E-2</v>
      </c>
      <c r="BI217">
        <v>4.2040999412536602</v>
      </c>
      <c r="BJ217">
        <f t="shared" si="3"/>
        <v>-1.1712753365422275E-3</v>
      </c>
    </row>
    <row r="218" spans="1:62">
      <c r="A218" s="2">
        <v>44902</v>
      </c>
      <c r="B218">
        <v>142.19000244140599</v>
      </c>
      <c r="C218">
        <v>143.36999511718699</v>
      </c>
      <c r="D218">
        <v>140</v>
      </c>
      <c r="E218">
        <v>140.94000244140599</v>
      </c>
      <c r="F218">
        <v>139.97798156738199</v>
      </c>
      <c r="G218">
        <v>69721100</v>
      </c>
      <c r="H218">
        <v>0.1</v>
      </c>
      <c r="I218">
        <v>-1.3784907775671901E-2</v>
      </c>
      <c r="J218">
        <v>2.8443115468861899E-2</v>
      </c>
      <c r="K218">
        <v>145.920001220703</v>
      </c>
      <c r="L218">
        <v>96.410003662109304</v>
      </c>
      <c r="M218">
        <v>96.879997253417898</v>
      </c>
      <c r="N218">
        <v>94.720001220703097</v>
      </c>
      <c r="O218">
        <v>94.940002441406193</v>
      </c>
      <c r="P218">
        <v>94.940002441406193</v>
      </c>
      <c r="Q218">
        <v>31045400</v>
      </c>
      <c r="R218">
        <v>0.1</v>
      </c>
      <c r="S218">
        <v>-2.1035273715336401E-2</v>
      </c>
      <c r="T218">
        <v>2.67462165063986E-2</v>
      </c>
      <c r="U218">
        <v>98.098001098632807</v>
      </c>
      <c r="V218">
        <v>244.83000183105401</v>
      </c>
      <c r="W218">
        <v>246.16000366210901</v>
      </c>
      <c r="X218">
        <v>242.21000671386699</v>
      </c>
      <c r="Y218">
        <v>244.36999511718699</v>
      </c>
      <c r="Z218">
        <v>241.775131225585</v>
      </c>
      <c r="AA218">
        <v>20481500</v>
      </c>
      <c r="AB218">
        <v>0.1</v>
      </c>
      <c r="AC218">
        <v>-3.0597259095139699E-3</v>
      </c>
      <c r="AD218">
        <v>2.62565694283797E-2</v>
      </c>
      <c r="AE218">
        <v>248.16999969482401</v>
      </c>
      <c r="AF218">
        <v>176.57000732421801</v>
      </c>
      <c r="AG218">
        <v>177.88000488281199</v>
      </c>
      <c r="AH218">
        <v>176.22999572753901</v>
      </c>
      <c r="AI218">
        <v>177.169998168945</v>
      </c>
      <c r="AJ218">
        <v>170.65637207031199</v>
      </c>
      <c r="AK218">
        <v>5702600</v>
      </c>
      <c r="AL218">
        <v>0.1</v>
      </c>
      <c r="AM218">
        <v>6.0760478611268098E-3</v>
      </c>
      <c r="AN218">
        <v>1.01775512210266E-2</v>
      </c>
      <c r="AO218">
        <v>177.53400115966701</v>
      </c>
      <c r="AP218">
        <v>63.450000762939403</v>
      </c>
      <c r="AQ218">
        <v>63.720001220703097</v>
      </c>
      <c r="AR218">
        <v>63.25</v>
      </c>
      <c r="AS218">
        <v>63.540000915527301</v>
      </c>
      <c r="AT218">
        <v>61.107883453369098</v>
      </c>
      <c r="AU218">
        <v>12307600</v>
      </c>
      <c r="AV218">
        <v>0.1</v>
      </c>
      <c r="AW218">
        <v>1.57632867249546E-3</v>
      </c>
      <c r="AX218">
        <v>1.11714954299095E-2</v>
      </c>
      <c r="AY218">
        <v>63.270000076293897</v>
      </c>
      <c r="AZ218">
        <v>4.2080001831054599</v>
      </c>
      <c r="BA218">
        <v>4.2150001525878897</v>
      </c>
      <c r="BB218">
        <v>4.1550002098083496</v>
      </c>
      <c r="BC218">
        <v>4.18300008773803</v>
      </c>
      <c r="BD218">
        <v>4.18300008773803</v>
      </c>
      <c r="BE218">
        <v>0</v>
      </c>
      <c r="BF218">
        <v>0.5</v>
      </c>
      <c r="BG218">
        <v>-8.7677024391351593E-3</v>
      </c>
      <c r="BH218">
        <v>1.02148353091255E-2</v>
      </c>
      <c r="BI218">
        <v>4.2025999546051001</v>
      </c>
      <c r="BJ218">
        <f t="shared" si="3"/>
        <v>-7.4066043062575799E-3</v>
      </c>
    </row>
    <row r="219" spans="1:62">
      <c r="A219" s="2">
        <v>44903</v>
      </c>
      <c r="B219">
        <v>142.36000061035099</v>
      </c>
      <c r="C219">
        <v>143.52000427246</v>
      </c>
      <c r="D219">
        <v>141.100006103515</v>
      </c>
      <c r="E219">
        <v>142.64999389648401</v>
      </c>
      <c r="F219">
        <v>141.67630004882801</v>
      </c>
      <c r="G219">
        <v>62128300</v>
      </c>
      <c r="H219">
        <v>0.1</v>
      </c>
      <c r="I219">
        <v>1.2132761639400601E-2</v>
      </c>
      <c r="J219">
        <v>2.7370498915407399E-2</v>
      </c>
      <c r="K219">
        <v>145.07799987792899</v>
      </c>
      <c r="L219">
        <v>95.379997253417898</v>
      </c>
      <c r="M219">
        <v>95.580001831054602</v>
      </c>
      <c r="N219">
        <v>93.449996948242102</v>
      </c>
      <c r="O219">
        <v>93.709999084472599</v>
      </c>
      <c r="P219">
        <v>93.709999084472599</v>
      </c>
      <c r="Q219">
        <v>32213300</v>
      </c>
      <c r="R219">
        <v>0.1</v>
      </c>
      <c r="S219">
        <v>-1.29555858995549E-2</v>
      </c>
      <c r="T219">
        <v>2.6564475454084E-2</v>
      </c>
      <c r="U219">
        <v>97.623001098632798</v>
      </c>
      <c r="V219">
        <v>244.83999633789</v>
      </c>
      <c r="W219">
        <v>248.74000549316401</v>
      </c>
      <c r="X219">
        <v>243.05999755859301</v>
      </c>
      <c r="Y219">
        <v>247.39999389648401</v>
      </c>
      <c r="Z219">
        <v>244.77296447753901</v>
      </c>
      <c r="AA219">
        <v>22611800</v>
      </c>
      <c r="AB219">
        <v>0.1</v>
      </c>
      <c r="AC219">
        <v>1.23992259272414E-2</v>
      </c>
      <c r="AD219">
        <v>2.5765925673854301E-2</v>
      </c>
      <c r="AE219">
        <v>248.15199890136699</v>
      </c>
      <c r="AF219">
        <v>176.82000732421801</v>
      </c>
      <c r="AG219">
        <v>177.47000122070301</v>
      </c>
      <c r="AH219">
        <v>176.33999633789</v>
      </c>
      <c r="AI219">
        <v>177.19999694824199</v>
      </c>
      <c r="AJ219">
        <v>170.68525695800699</v>
      </c>
      <c r="AK219">
        <v>4798500</v>
      </c>
      <c r="AL219">
        <v>0.1</v>
      </c>
      <c r="AM219">
        <v>1.69322004893057E-4</v>
      </c>
      <c r="AN219">
        <v>9.9591771700640493E-3</v>
      </c>
      <c r="AO219">
        <v>177.553001403808</v>
      </c>
      <c r="AP219">
        <v>63.599998474121001</v>
      </c>
      <c r="AQ219">
        <v>63.849998474121001</v>
      </c>
      <c r="AR219">
        <v>63.349998474121001</v>
      </c>
      <c r="AS219">
        <v>63.810001373291001</v>
      </c>
      <c r="AT219">
        <v>61.367549896240199</v>
      </c>
      <c r="AU219">
        <v>9946200</v>
      </c>
      <c r="AV219">
        <v>0.1</v>
      </c>
      <c r="AW219">
        <v>4.2492989278142199E-3</v>
      </c>
      <c r="AX219">
        <v>1.0412995026518299E-2</v>
      </c>
      <c r="AY219">
        <v>63.388000106811504</v>
      </c>
      <c r="AZ219">
        <v>4.1799998283386204</v>
      </c>
      <c r="BA219">
        <v>4.18300008773803</v>
      </c>
      <c r="BB219">
        <v>4.1050000190734801</v>
      </c>
      <c r="BC219">
        <v>4.1500000953674299</v>
      </c>
      <c r="BD219">
        <v>4.1500000953674299</v>
      </c>
      <c r="BE219">
        <v>0</v>
      </c>
      <c r="BF219">
        <v>0.5</v>
      </c>
      <c r="BG219">
        <v>-7.8890728373018897E-3</v>
      </c>
      <c r="BH219">
        <v>1.04144238635263E-2</v>
      </c>
      <c r="BI219">
        <v>4.1975999832153299</v>
      </c>
      <c r="BJ219">
        <f t="shared" si="3"/>
        <v>-2.3450341586715075E-3</v>
      </c>
    </row>
    <row r="220" spans="1:62">
      <c r="A220" s="2">
        <v>44904</v>
      </c>
      <c r="B220">
        <v>142.33999633789</v>
      </c>
      <c r="C220">
        <v>145.57000732421801</v>
      </c>
      <c r="D220">
        <v>140.89999389648401</v>
      </c>
      <c r="E220">
        <v>142.16000366210901</v>
      </c>
      <c r="F220">
        <v>141.18965148925699</v>
      </c>
      <c r="G220">
        <v>76097000</v>
      </c>
      <c r="H220">
        <v>0.1</v>
      </c>
      <c r="I220">
        <v>-3.4349124103753002E-3</v>
      </c>
      <c r="J220">
        <v>1.8474468971282701E-2</v>
      </c>
      <c r="K220">
        <v>144.48300018310499</v>
      </c>
      <c r="L220">
        <v>93.769996643066406</v>
      </c>
      <c r="M220">
        <v>94.260002136230398</v>
      </c>
      <c r="N220">
        <v>92.75</v>
      </c>
      <c r="O220">
        <v>92.830001831054602</v>
      </c>
      <c r="P220">
        <v>92.830001831054602</v>
      </c>
      <c r="Q220">
        <v>28225400</v>
      </c>
      <c r="R220">
        <v>0.1</v>
      </c>
      <c r="S220">
        <v>-9.3906441363287296E-3</v>
      </c>
      <c r="T220">
        <v>2.0575495520982801E-2</v>
      </c>
      <c r="U220">
        <v>97.160001373290996</v>
      </c>
      <c r="V220">
        <v>244.69999694824199</v>
      </c>
      <c r="W220">
        <v>248.30999755859301</v>
      </c>
      <c r="X220">
        <v>244.16000366210901</v>
      </c>
      <c r="Y220">
        <v>245.419998168945</v>
      </c>
      <c r="Z220">
        <v>242.81398010253901</v>
      </c>
      <c r="AA220">
        <v>20609700</v>
      </c>
      <c r="AB220">
        <v>0.1</v>
      </c>
      <c r="AC220">
        <v>-8.0032165577478206E-3</v>
      </c>
      <c r="AD220">
        <v>1.840472478345E-2</v>
      </c>
      <c r="AE220">
        <v>247.94499816894501</v>
      </c>
      <c r="AF220">
        <v>177.11999511718699</v>
      </c>
      <c r="AG220">
        <v>177.88999938964801</v>
      </c>
      <c r="AH220">
        <v>175.66000366210901</v>
      </c>
      <c r="AI220">
        <v>175.74000549316401</v>
      </c>
      <c r="AJ220">
        <v>169.27893066406199</v>
      </c>
      <c r="AK220">
        <v>4561000</v>
      </c>
      <c r="AL220">
        <v>0.1</v>
      </c>
      <c r="AM220">
        <v>-8.2392295723603404E-3</v>
      </c>
      <c r="AN220">
        <v>9.8713846538503493E-3</v>
      </c>
      <c r="AO220">
        <v>177.40300140380799</v>
      </c>
      <c r="AP220">
        <v>63.610000610351499</v>
      </c>
      <c r="AQ220">
        <v>63.840000152587798</v>
      </c>
      <c r="AR220">
        <v>63.090000152587798</v>
      </c>
      <c r="AS220">
        <v>63.139999389648402</v>
      </c>
      <c r="AT220">
        <v>60.723194122314403</v>
      </c>
      <c r="AU220">
        <v>13914900</v>
      </c>
      <c r="AV220">
        <v>0.1</v>
      </c>
      <c r="AW220">
        <v>-1.0499952503104299E-2</v>
      </c>
      <c r="AX220">
        <v>7.8172048819374704E-3</v>
      </c>
      <c r="AY220">
        <v>63.433000183105399</v>
      </c>
      <c r="AZ220">
        <v>4.1430001258850098</v>
      </c>
      <c r="BA220">
        <v>4.1750001907348597</v>
      </c>
      <c r="BB220">
        <v>4.1199998855590803</v>
      </c>
      <c r="BC220">
        <v>4.1729998588562003</v>
      </c>
      <c r="BD220">
        <v>4.1729998588562003</v>
      </c>
      <c r="BE220">
        <v>0</v>
      </c>
      <c r="BF220">
        <v>0.5</v>
      </c>
      <c r="BG220">
        <v>5.5421115566824898E-3</v>
      </c>
      <c r="BH220">
        <v>1.01883338246226E-2</v>
      </c>
      <c r="BI220">
        <v>4.1973999500274601</v>
      </c>
      <c r="BJ220">
        <f t="shared" si="3"/>
        <v>-1.1857397396504042E-3</v>
      </c>
    </row>
    <row r="221" spans="1:62">
      <c r="A221" s="2">
        <v>44907</v>
      </c>
      <c r="B221">
        <v>142.69999694824199</v>
      </c>
      <c r="C221">
        <v>144.5</v>
      </c>
      <c r="D221">
        <v>141.05999755859301</v>
      </c>
      <c r="E221">
        <v>144.49000549316401</v>
      </c>
      <c r="F221">
        <v>143.50373840332</v>
      </c>
      <c r="G221">
        <v>70462700</v>
      </c>
      <c r="H221">
        <v>0.1</v>
      </c>
      <c r="I221">
        <v>1.6389995575638101E-2</v>
      </c>
      <c r="J221">
        <v>1.83149313477451E-2</v>
      </c>
      <c r="K221">
        <v>144.510000610351</v>
      </c>
      <c r="L221">
        <v>92.709999084472599</v>
      </c>
      <c r="M221">
        <v>93.559997558593693</v>
      </c>
      <c r="N221">
        <v>91.610000610351506</v>
      </c>
      <c r="O221">
        <v>93.309997558593693</v>
      </c>
      <c r="P221">
        <v>93.309997558593693</v>
      </c>
      <c r="Q221">
        <v>29420000</v>
      </c>
      <c r="R221">
        <v>0.1</v>
      </c>
      <c r="S221">
        <v>5.1706960903936602E-3</v>
      </c>
      <c r="T221">
        <v>1.96549044604526E-2</v>
      </c>
      <c r="U221">
        <v>96.886000823974598</v>
      </c>
      <c r="V221">
        <v>247.44999694824199</v>
      </c>
      <c r="W221">
        <v>252.53999328613199</v>
      </c>
      <c r="X221">
        <v>247.169998168945</v>
      </c>
      <c r="Y221">
        <v>252.509994506835</v>
      </c>
      <c r="Z221">
        <v>249.82870483398401</v>
      </c>
      <c r="AA221">
        <v>30665100</v>
      </c>
      <c r="AB221">
        <v>0.1</v>
      </c>
      <c r="AC221">
        <v>2.8889236373516401E-2</v>
      </c>
      <c r="AD221">
        <v>1.9137886152268999E-2</v>
      </c>
      <c r="AE221">
        <v>249.01999816894499</v>
      </c>
      <c r="AF221">
        <v>175.94999694824199</v>
      </c>
      <c r="AG221">
        <v>177.86999511718699</v>
      </c>
      <c r="AH221">
        <v>175.600006103515</v>
      </c>
      <c r="AI221">
        <v>177.83999633789</v>
      </c>
      <c r="AJ221">
        <v>171.30172729492099</v>
      </c>
      <c r="AK221">
        <v>4882400</v>
      </c>
      <c r="AL221">
        <v>0.1</v>
      </c>
      <c r="AM221">
        <v>1.19494183400845E-2</v>
      </c>
      <c r="AN221">
        <v>7.1713526754099101E-3</v>
      </c>
      <c r="AO221">
        <v>177.45400085449199</v>
      </c>
      <c r="AP221">
        <v>63.299999237060497</v>
      </c>
      <c r="AQ221">
        <v>64.010002136230398</v>
      </c>
      <c r="AR221">
        <v>63.009998321533203</v>
      </c>
      <c r="AS221">
        <v>63.970001220703097</v>
      </c>
      <c r="AT221">
        <v>61.5214233398437</v>
      </c>
      <c r="AU221">
        <v>11647900</v>
      </c>
      <c r="AV221">
        <v>0.1</v>
      </c>
      <c r="AW221">
        <v>1.31454203211596E-2</v>
      </c>
      <c r="AX221">
        <v>8.1368170381323109E-3</v>
      </c>
      <c r="AY221">
        <v>63.560000228881798</v>
      </c>
      <c r="AZ221">
        <v>4.1750001907348597</v>
      </c>
      <c r="BA221">
        <v>4.1799998283386204</v>
      </c>
      <c r="BB221">
        <v>4.1329998970031703</v>
      </c>
      <c r="BC221">
        <v>4.1680002212524396</v>
      </c>
      <c r="BD221">
        <v>4.1680002212524396</v>
      </c>
      <c r="BE221">
        <v>0</v>
      </c>
      <c r="BF221">
        <v>0.5</v>
      </c>
      <c r="BG221">
        <v>-1.1980919656993101E-3</v>
      </c>
      <c r="BH221">
        <v>1.02049897370759E-2</v>
      </c>
      <c r="BI221">
        <v>4.1958999633789</v>
      </c>
      <c r="BJ221">
        <f t="shared" si="3"/>
        <v>6.9554306872295722E-3</v>
      </c>
    </row>
    <row r="222" spans="1:62">
      <c r="A222" s="2">
        <v>44908</v>
      </c>
      <c r="B222">
        <v>149.5</v>
      </c>
      <c r="C222">
        <v>149.97000122070301</v>
      </c>
      <c r="D222">
        <v>144.24000549316401</v>
      </c>
      <c r="E222">
        <v>145.47000122070301</v>
      </c>
      <c r="F222">
        <v>144.47706604003901</v>
      </c>
      <c r="G222">
        <v>93886200</v>
      </c>
      <c r="H222">
        <v>0.1</v>
      </c>
      <c r="I222">
        <v>6.7824464688350699E-3</v>
      </c>
      <c r="J222">
        <v>1.8308065740742799E-2</v>
      </c>
      <c r="K222">
        <v>144.94000091552701</v>
      </c>
      <c r="L222">
        <v>97.760002136230398</v>
      </c>
      <c r="M222">
        <v>99.529998779296804</v>
      </c>
      <c r="N222">
        <v>95.029998779296804</v>
      </c>
      <c r="O222">
        <v>95.629997253417898</v>
      </c>
      <c r="P222">
        <v>95.629997253417898</v>
      </c>
      <c r="Q222">
        <v>40593700</v>
      </c>
      <c r="R222">
        <v>0.1</v>
      </c>
      <c r="S222">
        <v>2.4863356076795198E-2</v>
      </c>
      <c r="T222">
        <v>2.04497612290656E-2</v>
      </c>
      <c r="U222">
        <v>96.930000305175696</v>
      </c>
      <c r="V222">
        <v>261.69000244140602</v>
      </c>
      <c r="W222">
        <v>263.92001342773398</v>
      </c>
      <c r="X222">
        <v>253.07000732421801</v>
      </c>
      <c r="Y222">
        <v>256.92001342773398</v>
      </c>
      <c r="Z222">
        <v>254.19187927246</v>
      </c>
      <c r="AA222">
        <v>42196900</v>
      </c>
      <c r="AB222">
        <v>0.1</v>
      </c>
      <c r="AC222">
        <v>1.74647301763695E-2</v>
      </c>
      <c r="AD222">
        <v>1.8606364874122299E-2</v>
      </c>
      <c r="AE222">
        <v>250.678999328613</v>
      </c>
      <c r="AF222">
        <v>179.100006103515</v>
      </c>
      <c r="AG222">
        <v>180.19999694824199</v>
      </c>
      <c r="AH222">
        <v>178.30999755859301</v>
      </c>
      <c r="AI222">
        <v>179.21000671386699</v>
      </c>
      <c r="AJ222">
        <v>172.62138366699199</v>
      </c>
      <c r="AK222">
        <v>9177500</v>
      </c>
      <c r="AL222">
        <v>0.1</v>
      </c>
      <c r="AM222">
        <v>7.7036122592668496E-3</v>
      </c>
      <c r="AN222">
        <v>6.5949627324269804E-3</v>
      </c>
      <c r="AO222">
        <v>177.76600189208901</v>
      </c>
      <c r="AP222">
        <v>64.589996337890597</v>
      </c>
      <c r="AQ222">
        <v>64.699996948242102</v>
      </c>
      <c r="AR222">
        <v>63.799999237060497</v>
      </c>
      <c r="AS222">
        <v>63.990001678466797</v>
      </c>
      <c r="AT222">
        <v>61.540660858154297</v>
      </c>
      <c r="AU222">
        <v>17521600</v>
      </c>
      <c r="AV222">
        <v>0.1</v>
      </c>
      <c r="AW222">
        <v>3.1265370301736202E-4</v>
      </c>
      <c r="AX222">
        <v>7.6703004723086702E-3</v>
      </c>
      <c r="AY222">
        <v>63.711000442504798</v>
      </c>
      <c r="AZ222">
        <v>4.2899999618530202</v>
      </c>
      <c r="BA222">
        <v>4.2899999618530202</v>
      </c>
      <c r="BB222">
        <v>4.2129998207092196</v>
      </c>
      <c r="BC222">
        <v>4.2480001449584899</v>
      </c>
      <c r="BD222">
        <v>4.2480001449584899</v>
      </c>
      <c r="BE222">
        <v>0</v>
      </c>
      <c r="BF222">
        <v>0.5</v>
      </c>
      <c r="BG222">
        <v>1.91938386418837E-2</v>
      </c>
      <c r="BH222">
        <v>1.09588217827902E-2</v>
      </c>
      <c r="BI222">
        <v>4.1953999996185303</v>
      </c>
      <c r="BJ222">
        <f t="shared" si="3"/>
        <v>1.5309599189370249E-2</v>
      </c>
    </row>
    <row r="223" spans="1:62">
      <c r="A223" s="2">
        <v>44909</v>
      </c>
      <c r="B223">
        <v>145.350006103515</v>
      </c>
      <c r="C223">
        <v>146.66000366210901</v>
      </c>
      <c r="D223">
        <v>141.16000366210901</v>
      </c>
      <c r="E223">
        <v>143.21000671386699</v>
      </c>
      <c r="F223">
        <v>142.232498168945</v>
      </c>
      <c r="G223">
        <v>82291200</v>
      </c>
      <c r="H223">
        <v>0.1</v>
      </c>
      <c r="I223">
        <v>-1.55358114241515E-2</v>
      </c>
      <c r="J223">
        <v>1.8335620902663299E-2</v>
      </c>
      <c r="K223">
        <v>144.458001708984</v>
      </c>
      <c r="L223">
        <v>95.199996948242102</v>
      </c>
      <c r="M223">
        <v>96.870002746582003</v>
      </c>
      <c r="N223">
        <v>93.599998474121094</v>
      </c>
      <c r="O223">
        <v>95.069999694824205</v>
      </c>
      <c r="P223">
        <v>95.069999694824205</v>
      </c>
      <c r="Q223">
        <v>28733600</v>
      </c>
      <c r="R223">
        <v>0.1</v>
      </c>
      <c r="S223">
        <v>-5.8558775977977E-3</v>
      </c>
      <c r="T223">
        <v>1.9346789196241498E-2</v>
      </c>
      <c r="U223">
        <v>96.338000488281196</v>
      </c>
      <c r="V223">
        <v>257.13000488281199</v>
      </c>
      <c r="W223">
        <v>262.58999633789</v>
      </c>
      <c r="X223">
        <v>254.30999755859301</v>
      </c>
      <c r="Y223">
        <v>257.22000122070301</v>
      </c>
      <c r="Z223">
        <v>254.48869323730401</v>
      </c>
      <c r="AA223">
        <v>35410900</v>
      </c>
      <c r="AB223">
        <v>0.1</v>
      </c>
      <c r="AC223">
        <v>1.1676310808426101E-3</v>
      </c>
      <c r="AD223">
        <v>1.8609244945395301E-2</v>
      </c>
      <c r="AE223">
        <v>250.88699951171799</v>
      </c>
      <c r="AF223">
        <v>178.58000183105401</v>
      </c>
      <c r="AG223">
        <v>181.03999328613199</v>
      </c>
      <c r="AH223">
        <v>178.58000183105401</v>
      </c>
      <c r="AI223">
        <v>179.759994506835</v>
      </c>
      <c r="AJ223">
        <v>173.151123046875</v>
      </c>
      <c r="AK223">
        <v>9533600</v>
      </c>
      <c r="AL223">
        <v>0.1</v>
      </c>
      <c r="AM223">
        <v>3.0689569352388901E-3</v>
      </c>
      <c r="AN223">
        <v>6.5967771395048398E-3</v>
      </c>
      <c r="AO223">
        <v>177.94200134277301</v>
      </c>
      <c r="AP223">
        <v>64.190002441406193</v>
      </c>
      <c r="AQ223">
        <v>64.650001525878906</v>
      </c>
      <c r="AR223">
        <v>63.569999694824197</v>
      </c>
      <c r="AS223">
        <v>63.990001678466797</v>
      </c>
      <c r="AT223">
        <v>61.540660858154297</v>
      </c>
      <c r="AU223">
        <v>12826700</v>
      </c>
      <c r="AV223">
        <v>0.1</v>
      </c>
      <c r="AW223">
        <v>0</v>
      </c>
      <c r="AX223">
        <v>7.6305369507075E-3</v>
      </c>
      <c r="AY223">
        <v>63.749000549316399</v>
      </c>
      <c r="AZ223">
        <v>4.2300000190734801</v>
      </c>
      <c r="BA223">
        <v>4.2399997711181596</v>
      </c>
      <c r="BB223">
        <v>4.1979999542236301</v>
      </c>
      <c r="BC223">
        <v>4.2199997901916504</v>
      </c>
      <c r="BD223">
        <v>4.2199997901916504</v>
      </c>
      <c r="BE223">
        <v>0</v>
      </c>
      <c r="BF223">
        <v>0.5</v>
      </c>
      <c r="BG223">
        <v>-6.5914203887390502E-3</v>
      </c>
      <c r="BH223">
        <v>1.0677703654148401E-2</v>
      </c>
      <c r="BI223">
        <v>4.1921000003814699</v>
      </c>
      <c r="BJ223">
        <f t="shared" si="3"/>
        <v>-5.0112202949562958E-3</v>
      </c>
    </row>
    <row r="224" spans="1:62">
      <c r="A224" s="2">
        <v>44910</v>
      </c>
      <c r="B224">
        <v>141.11000061035099</v>
      </c>
      <c r="C224">
        <v>141.80000305175699</v>
      </c>
      <c r="D224">
        <v>136.02999877929599</v>
      </c>
      <c r="E224">
        <v>136.5</v>
      </c>
      <c r="F224">
        <v>135.56828308105401</v>
      </c>
      <c r="G224">
        <v>98931900</v>
      </c>
      <c r="H224">
        <v>0.1</v>
      </c>
      <c r="I224">
        <v>-4.6854314637899103E-2</v>
      </c>
      <c r="J224">
        <v>2.08659397631701E-2</v>
      </c>
      <c r="K224">
        <v>143.27700195312499</v>
      </c>
      <c r="L224">
        <v>93.129997253417898</v>
      </c>
      <c r="M224">
        <v>93.639999389648395</v>
      </c>
      <c r="N224">
        <v>90.010002136230398</v>
      </c>
      <c r="O224">
        <v>90.860000610351506</v>
      </c>
      <c r="P224">
        <v>90.860000610351506</v>
      </c>
      <c r="Q224">
        <v>40107000</v>
      </c>
      <c r="R224">
        <v>0.1</v>
      </c>
      <c r="S224">
        <v>-4.4283150289121602E-2</v>
      </c>
      <c r="T224">
        <v>2.1504251408628199E-2</v>
      </c>
      <c r="U224">
        <v>95.325000762939396</v>
      </c>
      <c r="V224">
        <v>253.72000122070301</v>
      </c>
      <c r="W224">
        <v>254.19999694824199</v>
      </c>
      <c r="X224">
        <v>247.33999633789</v>
      </c>
      <c r="Y224">
        <v>249.009994506835</v>
      </c>
      <c r="Z224">
        <v>246.36584472656199</v>
      </c>
      <c r="AA224">
        <v>35560400</v>
      </c>
      <c r="AB224">
        <v>0.1</v>
      </c>
      <c r="AC224">
        <v>-3.1918228267259499E-2</v>
      </c>
      <c r="AD224">
        <v>2.0195125471271402E-2</v>
      </c>
      <c r="AE224">
        <v>250.31899871826101</v>
      </c>
      <c r="AF224">
        <v>179.19999694824199</v>
      </c>
      <c r="AG224">
        <v>179.83999633789</v>
      </c>
      <c r="AH224">
        <v>176.39999389648401</v>
      </c>
      <c r="AI224">
        <v>177.49000549316401</v>
      </c>
      <c r="AJ224">
        <v>170.964599609375</v>
      </c>
      <c r="AK224">
        <v>7602400</v>
      </c>
      <c r="AL224">
        <v>0.1</v>
      </c>
      <c r="AM224">
        <v>-1.26278876448538E-2</v>
      </c>
      <c r="AN224">
        <v>7.2900200750268202E-3</v>
      </c>
      <c r="AO224">
        <v>177.81700134277301</v>
      </c>
      <c r="AP224">
        <v>63.590000152587798</v>
      </c>
      <c r="AQ224">
        <v>63.889999389648402</v>
      </c>
      <c r="AR224">
        <v>62.490001678466797</v>
      </c>
      <c r="AS224">
        <v>63.110000610351499</v>
      </c>
      <c r="AT224">
        <v>60.694343566894503</v>
      </c>
      <c r="AU224">
        <v>12212300</v>
      </c>
      <c r="AV224">
        <v>0.1</v>
      </c>
      <c r="AW224">
        <v>-1.37521651044332E-2</v>
      </c>
      <c r="AX224">
        <v>8.42963555132362E-3</v>
      </c>
      <c r="AY224">
        <v>63.681000518798797</v>
      </c>
      <c r="AZ224">
        <v>4.2179999351501403</v>
      </c>
      <c r="BA224">
        <v>4.2179999351501403</v>
      </c>
      <c r="BB224">
        <v>4.1750001907348597</v>
      </c>
      <c r="BC224">
        <v>4.2129998207092196</v>
      </c>
      <c r="BD224">
        <v>4.2129998207092196</v>
      </c>
      <c r="BE224">
        <v>0</v>
      </c>
      <c r="BF224">
        <v>0.5</v>
      </c>
      <c r="BG224">
        <v>-1.6587606233279201E-3</v>
      </c>
      <c r="BH224">
        <v>1.0683347033502599E-2</v>
      </c>
      <c r="BI224">
        <v>4.1940999984741199</v>
      </c>
      <c r="BJ224">
        <f t="shared" si="3"/>
        <v>-1.5772954906020681E-2</v>
      </c>
    </row>
    <row r="225" spans="1:62">
      <c r="A225" s="2">
        <v>44911</v>
      </c>
      <c r="B225">
        <v>136.69000244140599</v>
      </c>
      <c r="C225">
        <v>137.64999389648401</v>
      </c>
      <c r="D225">
        <v>133.72999572753901</v>
      </c>
      <c r="E225">
        <v>134.509994506835</v>
      </c>
      <c r="F225">
        <v>133.59185791015599</v>
      </c>
      <c r="G225">
        <v>160156900</v>
      </c>
      <c r="H225">
        <v>0.1</v>
      </c>
      <c r="I225">
        <v>-1.4578794821714701E-2</v>
      </c>
      <c r="J225">
        <v>2.0587539858851998E-2</v>
      </c>
      <c r="K225">
        <v>141.94700164794901</v>
      </c>
      <c r="L225">
        <v>90.760002136230398</v>
      </c>
      <c r="M225">
        <v>91.330001831054602</v>
      </c>
      <c r="N225">
        <v>89.519996643066406</v>
      </c>
      <c r="O225">
        <v>90.260002136230398</v>
      </c>
      <c r="P225">
        <v>90.260002136230398</v>
      </c>
      <c r="Q225">
        <v>58011800</v>
      </c>
      <c r="R225">
        <v>0.1</v>
      </c>
      <c r="S225">
        <v>-6.6035490875039297E-3</v>
      </c>
      <c r="T225">
        <v>2.15113057678449E-2</v>
      </c>
      <c r="U225">
        <v>94.307000732421798</v>
      </c>
      <c r="V225">
        <v>248.55000305175699</v>
      </c>
      <c r="W225">
        <v>249.83999633789</v>
      </c>
      <c r="X225">
        <v>243.509994506835</v>
      </c>
      <c r="Y225">
        <v>244.69000244140599</v>
      </c>
      <c r="Z225">
        <v>242.09173583984301</v>
      </c>
      <c r="AA225">
        <v>86102000</v>
      </c>
      <c r="AB225">
        <v>0.1</v>
      </c>
      <c r="AC225">
        <v>-1.73486693736346E-2</v>
      </c>
      <c r="AD225">
        <v>2.0638110998144402E-2</v>
      </c>
      <c r="AE225">
        <v>249.28599853515601</v>
      </c>
      <c r="AF225">
        <v>177</v>
      </c>
      <c r="AG225">
        <v>177</v>
      </c>
      <c r="AH225">
        <v>174.86000061035099</v>
      </c>
      <c r="AI225">
        <v>175.669998168945</v>
      </c>
      <c r="AJ225">
        <v>169.211502075195</v>
      </c>
      <c r="AK225">
        <v>18841800</v>
      </c>
      <c r="AL225">
        <v>0.1</v>
      </c>
      <c r="AM225">
        <v>-1.0254139770641E-2</v>
      </c>
      <c r="AN225">
        <v>7.5253907005068503E-3</v>
      </c>
      <c r="AO225">
        <v>177.49600067138601</v>
      </c>
      <c r="AP225">
        <v>62.75</v>
      </c>
      <c r="AQ225">
        <v>63.139999389648402</v>
      </c>
      <c r="AR225">
        <v>62.330001831054602</v>
      </c>
      <c r="AS225">
        <v>62.75</v>
      </c>
      <c r="AT225">
        <v>60.348125457763601</v>
      </c>
      <c r="AU225">
        <v>33631500</v>
      </c>
      <c r="AV225">
        <v>0.1</v>
      </c>
      <c r="AW225">
        <v>-5.7043353964492099E-3</v>
      </c>
      <c r="AX225">
        <v>8.6041131233233203E-3</v>
      </c>
      <c r="AY225">
        <v>63.521000671386702</v>
      </c>
      <c r="AZ225">
        <v>4.1750001907348597</v>
      </c>
      <c r="BA225">
        <v>4.18300008773803</v>
      </c>
      <c r="BB225">
        <v>4.1550002098083496</v>
      </c>
      <c r="BC225">
        <v>4.1630001068115199</v>
      </c>
      <c r="BD225">
        <v>4.1630001068115199</v>
      </c>
      <c r="BE225">
        <v>0</v>
      </c>
      <c r="BF225">
        <v>0.5</v>
      </c>
      <c r="BG225">
        <v>-1.18679601294851E-2</v>
      </c>
      <c r="BH225">
        <v>1.1042510003937101E-2</v>
      </c>
      <c r="BI225">
        <v>4.1895999908447203</v>
      </c>
      <c r="BJ225">
        <f t="shared" si="3"/>
        <v>-1.1382928909736894E-2</v>
      </c>
    </row>
    <row r="226" spans="1:62">
      <c r="A226" s="2">
        <v>44914</v>
      </c>
      <c r="B226">
        <v>135.11000061035099</v>
      </c>
      <c r="C226">
        <v>135.19999694824199</v>
      </c>
      <c r="D226">
        <v>131.32000732421801</v>
      </c>
      <c r="E226">
        <v>132.36999511718699</v>
      </c>
      <c r="F226">
        <v>131.46646118164</v>
      </c>
      <c r="G226">
        <v>79592600</v>
      </c>
      <c r="H226">
        <v>0.1</v>
      </c>
      <c r="I226">
        <v>-1.5909593911548801E-2</v>
      </c>
      <c r="J226">
        <v>2.05925547205747E-2</v>
      </c>
      <c r="K226">
        <v>140.52100067138599</v>
      </c>
      <c r="L226">
        <v>90.260002136230398</v>
      </c>
      <c r="M226">
        <v>90.559997558593693</v>
      </c>
      <c r="N226">
        <v>88.209999084472599</v>
      </c>
      <c r="O226">
        <v>88.440002441406193</v>
      </c>
      <c r="P226">
        <v>88.440002441406193</v>
      </c>
      <c r="Q226">
        <v>29493000</v>
      </c>
      <c r="R226">
        <v>0.1</v>
      </c>
      <c r="S226">
        <v>-2.0163966892857699E-2</v>
      </c>
      <c r="T226">
        <v>2.17839363647718E-2</v>
      </c>
      <c r="U226">
        <v>93.203000640869107</v>
      </c>
      <c r="V226">
        <v>244.86000061035099</v>
      </c>
      <c r="W226">
        <v>245.21000671386699</v>
      </c>
      <c r="X226">
        <v>238.71000671386699</v>
      </c>
      <c r="Y226">
        <v>240.44999694824199</v>
      </c>
      <c r="Z226">
        <v>237.89677429199199</v>
      </c>
      <c r="AA226">
        <v>29696400</v>
      </c>
      <c r="AB226">
        <v>0.1</v>
      </c>
      <c r="AC226">
        <v>-1.7328070010458899E-2</v>
      </c>
      <c r="AD226">
        <v>2.1029666132346601E-2</v>
      </c>
      <c r="AE226">
        <v>248.31099853515599</v>
      </c>
      <c r="AF226">
        <v>175.350006103515</v>
      </c>
      <c r="AG226">
        <v>176.169998168945</v>
      </c>
      <c r="AH226">
        <v>174.07000732421801</v>
      </c>
      <c r="AI226">
        <v>175.47999572753901</v>
      </c>
      <c r="AJ226">
        <v>169.02848815917901</v>
      </c>
      <c r="AK226">
        <v>5736000</v>
      </c>
      <c r="AL226">
        <v>0.1</v>
      </c>
      <c r="AM226">
        <v>-1.0815873136374901E-3</v>
      </c>
      <c r="AN226">
        <v>7.3238357603970204E-3</v>
      </c>
      <c r="AO226">
        <v>177.16600036621</v>
      </c>
      <c r="AP226">
        <v>62.830001831054602</v>
      </c>
      <c r="AQ226">
        <v>63.409999847412102</v>
      </c>
      <c r="AR226">
        <v>62.470001220703097</v>
      </c>
      <c r="AS226">
        <v>62.840000152587798</v>
      </c>
      <c r="AT226">
        <v>60.434677124023402</v>
      </c>
      <c r="AU226">
        <v>10919700</v>
      </c>
      <c r="AV226">
        <v>0.1</v>
      </c>
      <c r="AW226">
        <v>1.43426537988666E-3</v>
      </c>
      <c r="AX226">
        <v>8.50993309939976E-3</v>
      </c>
      <c r="AY226">
        <v>63.458000564575102</v>
      </c>
      <c r="AZ226">
        <v>4.18300008773803</v>
      </c>
      <c r="BA226">
        <v>4.1849999427795401</v>
      </c>
      <c r="BB226">
        <v>4.1479997634887598</v>
      </c>
      <c r="BC226">
        <v>4.1630001068115199</v>
      </c>
      <c r="BD226">
        <v>4.1630001068115199</v>
      </c>
      <c r="BE226">
        <v>0</v>
      </c>
      <c r="BF226">
        <v>0.5</v>
      </c>
      <c r="BG226">
        <v>0</v>
      </c>
      <c r="BH226">
        <v>1.0987655848171201E-2</v>
      </c>
      <c r="BI226">
        <v>4.1901000022888102</v>
      </c>
      <c r="BJ226">
        <f t="shared" si="3"/>
        <v>-5.3048952748616235E-3</v>
      </c>
    </row>
    <row r="227" spans="1:62">
      <c r="A227" s="2">
        <v>44915</v>
      </c>
      <c r="B227">
        <v>131.38999938964801</v>
      </c>
      <c r="C227">
        <v>133.25</v>
      </c>
      <c r="D227">
        <v>129.88999938964801</v>
      </c>
      <c r="E227">
        <v>132.30000305175699</v>
      </c>
      <c r="F227">
        <v>131.39695739746</v>
      </c>
      <c r="G227">
        <v>77432800</v>
      </c>
      <c r="H227">
        <v>0.1</v>
      </c>
      <c r="I227">
        <v>-5.2876080691643902E-4</v>
      </c>
      <c r="J227">
        <v>2.0310773292990199E-2</v>
      </c>
      <c r="K227">
        <v>139.46000061035099</v>
      </c>
      <c r="L227">
        <v>88.110000610351506</v>
      </c>
      <c r="M227">
        <v>89.180000305175696</v>
      </c>
      <c r="N227">
        <v>87.440002441406193</v>
      </c>
      <c r="O227">
        <v>89.019996643066406</v>
      </c>
      <c r="P227">
        <v>89.019996643066406</v>
      </c>
      <c r="Q227">
        <v>23453800</v>
      </c>
      <c r="R227">
        <v>0.1</v>
      </c>
      <c r="S227">
        <v>6.55805275496712E-3</v>
      </c>
      <c r="T227">
        <v>2.16525334613288E-2</v>
      </c>
      <c r="U227">
        <v>92.406999969482399</v>
      </c>
      <c r="V227">
        <v>239.39999389648401</v>
      </c>
      <c r="W227">
        <v>242.91000366210901</v>
      </c>
      <c r="X227">
        <v>238.419998168945</v>
      </c>
      <c r="Y227">
        <v>241.80000305175699</v>
      </c>
      <c r="Z227">
        <v>239.23243713378901</v>
      </c>
      <c r="AA227">
        <v>25150800</v>
      </c>
      <c r="AB227">
        <v>0.1</v>
      </c>
      <c r="AC227">
        <v>5.6144983183601298E-3</v>
      </c>
      <c r="AD227">
        <v>2.1053731173015799E-2</v>
      </c>
      <c r="AE227">
        <v>247.97899932861301</v>
      </c>
      <c r="AF227">
        <v>176</v>
      </c>
      <c r="AG227">
        <v>176.44000244140599</v>
      </c>
      <c r="AH227">
        <v>175.169998168945</v>
      </c>
      <c r="AI227">
        <v>175.669998168945</v>
      </c>
      <c r="AJ227">
        <v>169.211502075195</v>
      </c>
      <c r="AK227">
        <v>6174700</v>
      </c>
      <c r="AL227">
        <v>0.1</v>
      </c>
      <c r="AM227">
        <v>1.0827584113990399E-3</v>
      </c>
      <c r="AN227">
        <v>7.3239764875848504E-3</v>
      </c>
      <c r="AO227">
        <v>177.122999572753</v>
      </c>
      <c r="AP227">
        <v>62.819999694824197</v>
      </c>
      <c r="AQ227">
        <v>63.150001525878899</v>
      </c>
      <c r="AR227">
        <v>62.75</v>
      </c>
      <c r="AS227">
        <v>62.790000915527301</v>
      </c>
      <c r="AT227">
        <v>60.386592864990199</v>
      </c>
      <c r="AU227">
        <v>10286500</v>
      </c>
      <c r="AV227">
        <v>0.1</v>
      </c>
      <c r="AW227">
        <v>-7.9565940386916402E-4</v>
      </c>
      <c r="AX227">
        <v>7.8560416722505202E-3</v>
      </c>
      <c r="AY227">
        <v>63.393000793456999</v>
      </c>
      <c r="AZ227">
        <v>4.2529997825622496</v>
      </c>
      <c r="BA227">
        <v>4.25500011444091</v>
      </c>
      <c r="BB227">
        <v>4.2129998207092196</v>
      </c>
      <c r="BC227">
        <v>4.2300000190734801</v>
      </c>
      <c r="BD227">
        <v>4.2300000190734801</v>
      </c>
      <c r="BE227">
        <v>0</v>
      </c>
      <c r="BF227">
        <v>0.5</v>
      </c>
      <c r="BG227">
        <v>1.6094141374711299E-2</v>
      </c>
      <c r="BH227">
        <v>1.1289684610230799E-2</v>
      </c>
      <c r="BI227">
        <v>4.1911000251769996</v>
      </c>
      <c r="BJ227">
        <f t="shared" si="3"/>
        <v>9.2401596147497177E-3</v>
      </c>
    </row>
    <row r="228" spans="1:62">
      <c r="A228" s="2">
        <v>44916</v>
      </c>
      <c r="B228">
        <v>132.97999572753901</v>
      </c>
      <c r="C228">
        <v>136.80999755859301</v>
      </c>
      <c r="D228">
        <v>132.75</v>
      </c>
      <c r="E228">
        <v>135.44999694824199</v>
      </c>
      <c r="F228">
        <v>134.525466918945</v>
      </c>
      <c r="G228">
        <v>85928000</v>
      </c>
      <c r="H228">
        <v>0.1</v>
      </c>
      <c r="I228">
        <v>2.38094771264067E-2</v>
      </c>
      <c r="J228">
        <v>2.0881322455287399E-2</v>
      </c>
      <c r="K228">
        <v>138.911000061035</v>
      </c>
      <c r="L228">
        <v>89.080001831054602</v>
      </c>
      <c r="M228">
        <v>90.220001220703097</v>
      </c>
      <c r="N228">
        <v>88.319999694824205</v>
      </c>
      <c r="O228">
        <v>89.580001831054602</v>
      </c>
      <c r="P228">
        <v>89.580001831054602</v>
      </c>
      <c r="Q228">
        <v>24745600</v>
      </c>
      <c r="R228">
        <v>0.1</v>
      </c>
      <c r="S228">
        <v>6.29077970238167E-3</v>
      </c>
      <c r="T228">
        <v>2.1341972814483402E-2</v>
      </c>
      <c r="U228">
        <v>91.870999908447203</v>
      </c>
      <c r="V228">
        <v>241.69000244140599</v>
      </c>
      <c r="W228">
        <v>245.61999511718699</v>
      </c>
      <c r="X228">
        <v>240.11000061035099</v>
      </c>
      <c r="Y228">
        <v>244.42999267578099</v>
      </c>
      <c r="Z228">
        <v>241.83448791503901</v>
      </c>
      <c r="AA228">
        <v>23690600</v>
      </c>
      <c r="AB228">
        <v>0.1</v>
      </c>
      <c r="AC228">
        <v>1.08767146022759E-2</v>
      </c>
      <c r="AD228">
        <v>2.1012535960741398E-2</v>
      </c>
      <c r="AE228">
        <v>247.98499908447201</v>
      </c>
      <c r="AF228">
        <v>176.27000427246</v>
      </c>
      <c r="AG228">
        <v>178.17999267578099</v>
      </c>
      <c r="AH228">
        <v>175.64999389648401</v>
      </c>
      <c r="AI228">
        <v>177.67999267578099</v>
      </c>
      <c r="AJ228">
        <v>171.14759826660099</v>
      </c>
      <c r="AK228">
        <v>5472000</v>
      </c>
      <c r="AL228">
        <v>0.1</v>
      </c>
      <c r="AM228">
        <v>1.14418769726569E-2</v>
      </c>
      <c r="AN228">
        <v>7.6960706618539303E-3</v>
      </c>
      <c r="AO228">
        <v>177.17399902343701</v>
      </c>
      <c r="AP228">
        <v>63.069999694824197</v>
      </c>
      <c r="AQ228">
        <v>64.050003051757798</v>
      </c>
      <c r="AR228">
        <v>63.069999694824197</v>
      </c>
      <c r="AS228">
        <v>63.799999237060497</v>
      </c>
      <c r="AT228">
        <v>61.357933044433501</v>
      </c>
      <c r="AU228">
        <v>10411300</v>
      </c>
      <c r="AV228">
        <v>0.1</v>
      </c>
      <c r="AW228">
        <v>1.6085336945479201E-2</v>
      </c>
      <c r="AX228">
        <v>8.5579407975411807E-3</v>
      </c>
      <c r="AY228">
        <v>63.419000625610302</v>
      </c>
      <c r="AZ228">
        <v>4.21000003814697</v>
      </c>
      <c r="BA228">
        <v>4.22300004959106</v>
      </c>
      <c r="BB228">
        <v>4.1999998092651296</v>
      </c>
      <c r="BC228">
        <v>4.2049999237060502</v>
      </c>
      <c r="BD228">
        <v>4.2049999237060502</v>
      </c>
      <c r="BE228">
        <v>0</v>
      </c>
      <c r="BF228">
        <v>0.5</v>
      </c>
      <c r="BG228">
        <v>-5.9101880034760903E-3</v>
      </c>
      <c r="BH228">
        <v>1.0039482715667399E-2</v>
      </c>
      <c r="BI228">
        <v>4.1933000087738002</v>
      </c>
      <c r="BJ228">
        <f t="shared" si="3"/>
        <v>3.895324533181992E-3</v>
      </c>
    </row>
    <row r="229" spans="1:62">
      <c r="A229" s="2">
        <v>44917</v>
      </c>
      <c r="B229">
        <v>134.350006103515</v>
      </c>
      <c r="C229">
        <v>134.55999755859301</v>
      </c>
      <c r="D229">
        <v>130.30000305175699</v>
      </c>
      <c r="E229">
        <v>132.22999572753901</v>
      </c>
      <c r="F229">
        <v>131.32742309570301</v>
      </c>
      <c r="G229">
        <v>77852100</v>
      </c>
      <c r="H229">
        <v>0.1</v>
      </c>
      <c r="I229">
        <v>-2.3772619366935401E-2</v>
      </c>
      <c r="J229">
        <v>2.11223992409653E-2</v>
      </c>
      <c r="K229">
        <v>137.86900024414001</v>
      </c>
      <c r="L229">
        <v>88.160003662109304</v>
      </c>
      <c r="M229">
        <v>88.540000915527301</v>
      </c>
      <c r="N229">
        <v>86.319999694824205</v>
      </c>
      <c r="O229">
        <v>87.760002136230398</v>
      </c>
      <c r="P229">
        <v>87.760002136230398</v>
      </c>
      <c r="Q229">
        <v>27658300</v>
      </c>
      <c r="R229">
        <v>0.1</v>
      </c>
      <c r="S229">
        <v>-2.03170312304378E-2</v>
      </c>
      <c r="T229">
        <v>2.1190208184617899E-2</v>
      </c>
      <c r="U229">
        <v>91.276000213623007</v>
      </c>
      <c r="V229">
        <v>241.259994506835</v>
      </c>
      <c r="W229">
        <v>241.99000549316401</v>
      </c>
      <c r="X229">
        <v>233.86999511718699</v>
      </c>
      <c r="Y229">
        <v>238.19000244140599</v>
      </c>
      <c r="Z229">
        <v>235.66076660156199</v>
      </c>
      <c r="AA229">
        <v>28651700</v>
      </c>
      <c r="AB229">
        <v>0.1</v>
      </c>
      <c r="AC229">
        <v>-2.55287420584752E-2</v>
      </c>
      <c r="AD229">
        <v>2.1611270738389799E-2</v>
      </c>
      <c r="AE229">
        <v>247.063999938964</v>
      </c>
      <c r="AF229">
        <v>176.77000427246</v>
      </c>
      <c r="AG229">
        <v>177.509994506835</v>
      </c>
      <c r="AH229">
        <v>175.33999633789</v>
      </c>
      <c r="AI229">
        <v>177.02999877929599</v>
      </c>
      <c r="AJ229">
        <v>170.52151489257801</v>
      </c>
      <c r="AK229">
        <v>5709100</v>
      </c>
      <c r="AL229">
        <v>0.1</v>
      </c>
      <c r="AM229">
        <v>-3.6582278437530201E-3</v>
      </c>
      <c r="AN229">
        <v>7.7426774234230396E-3</v>
      </c>
      <c r="AO229">
        <v>177.156999206542</v>
      </c>
      <c r="AP229">
        <v>63.419998168945298</v>
      </c>
      <c r="AQ229">
        <v>63.590000152587798</v>
      </c>
      <c r="AR229">
        <v>62.650001525878899</v>
      </c>
      <c r="AS229">
        <v>63.340000152587798</v>
      </c>
      <c r="AT229">
        <v>60.915542602538999</v>
      </c>
      <c r="AU229">
        <v>9666700</v>
      </c>
      <c r="AV229">
        <v>0.1</v>
      </c>
      <c r="AW229">
        <v>-7.21001708422353E-3</v>
      </c>
      <c r="AX229">
        <v>8.7184853665544498E-3</v>
      </c>
      <c r="AY229">
        <v>63.372000503540001</v>
      </c>
      <c r="AZ229">
        <v>4.1950001716613698</v>
      </c>
      <c r="BA229">
        <v>4.2129998207092196</v>
      </c>
      <c r="BB229">
        <v>4.1779999732971103</v>
      </c>
      <c r="BC229">
        <v>4.2080001831054599</v>
      </c>
      <c r="BD229">
        <v>4.2080001831054599</v>
      </c>
      <c r="BE229">
        <v>0</v>
      </c>
      <c r="BF229">
        <v>0.5</v>
      </c>
      <c r="BG229">
        <v>7.1349808652776403E-4</v>
      </c>
      <c r="BH229">
        <v>1.0040052036945499E-2</v>
      </c>
      <c r="BI229">
        <v>4.1991000175476003</v>
      </c>
      <c r="BJ229">
        <f t="shared" si="3"/>
        <v>-7.6919147151186147E-3</v>
      </c>
    </row>
    <row r="230" spans="1:62">
      <c r="A230" s="2">
        <v>44918</v>
      </c>
      <c r="B230">
        <v>130.919998168945</v>
      </c>
      <c r="C230">
        <v>132.419998168945</v>
      </c>
      <c r="D230">
        <v>129.63999938964801</v>
      </c>
      <c r="E230">
        <v>131.86000061035099</v>
      </c>
      <c r="F230">
        <v>130.95994567871</v>
      </c>
      <c r="G230">
        <v>63814900</v>
      </c>
      <c r="H230">
        <v>0.1</v>
      </c>
      <c r="I230">
        <v>-2.7981178941416298E-3</v>
      </c>
      <c r="J230">
        <v>2.09041013568118E-2</v>
      </c>
      <c r="K230">
        <v>136.83899993896401</v>
      </c>
      <c r="L230">
        <v>87.110000610351506</v>
      </c>
      <c r="M230">
        <v>89.550003051757798</v>
      </c>
      <c r="N230">
        <v>87.069999694824205</v>
      </c>
      <c r="O230">
        <v>89.230003356933594</v>
      </c>
      <c r="P230">
        <v>89.230003356933594</v>
      </c>
      <c r="Q230">
        <v>23003000</v>
      </c>
      <c r="R230">
        <v>0.1</v>
      </c>
      <c r="S230">
        <v>1.6750241396088699E-2</v>
      </c>
      <c r="T230">
        <v>2.17280093101134E-2</v>
      </c>
      <c r="U230">
        <v>90.916000366210895</v>
      </c>
      <c r="V230">
        <v>236.11000061035099</v>
      </c>
      <c r="W230">
        <v>238.86999511718699</v>
      </c>
      <c r="X230">
        <v>233.94000244140599</v>
      </c>
      <c r="Y230">
        <v>238.72999572753901</v>
      </c>
      <c r="Z230">
        <v>236.19502258300699</v>
      </c>
      <c r="AA230">
        <v>21207000</v>
      </c>
      <c r="AB230">
        <v>0.1</v>
      </c>
      <c r="AC230">
        <v>2.2670694848565499E-3</v>
      </c>
      <c r="AD230">
        <v>2.1627912934865899E-2</v>
      </c>
      <c r="AE230">
        <v>246.39499969482401</v>
      </c>
      <c r="AF230">
        <v>176.669998168945</v>
      </c>
      <c r="AG230">
        <v>177.52000427246</v>
      </c>
      <c r="AH230">
        <v>175.80999755859301</v>
      </c>
      <c r="AI230">
        <v>177.47999572753901</v>
      </c>
      <c r="AJ230">
        <v>170.95494079589801</v>
      </c>
      <c r="AK230">
        <v>3683400</v>
      </c>
      <c r="AL230">
        <v>0.1</v>
      </c>
      <c r="AM230">
        <v>2.5419248226012901E-3</v>
      </c>
      <c r="AN230">
        <v>7.7583327390690999E-3</v>
      </c>
      <c r="AO230">
        <v>177.33099822998</v>
      </c>
      <c r="AP230">
        <v>63.5</v>
      </c>
      <c r="AQ230">
        <v>63.869998931884702</v>
      </c>
      <c r="AR230">
        <v>63.200000762939403</v>
      </c>
      <c r="AS230">
        <v>63.819999694824197</v>
      </c>
      <c r="AT230">
        <v>61.377170562744098</v>
      </c>
      <c r="AU230">
        <v>6463300</v>
      </c>
      <c r="AV230">
        <v>0.1</v>
      </c>
      <c r="AW230">
        <v>7.5781424231133798E-3</v>
      </c>
      <c r="AX230">
        <v>8.8573643751206094E-3</v>
      </c>
      <c r="AY230">
        <v>63.440000534057603</v>
      </c>
      <c r="AZ230">
        <v>4.1950001716613698</v>
      </c>
      <c r="BA230">
        <v>4.2080001831054599</v>
      </c>
      <c r="BB230">
        <v>4.18300008773803</v>
      </c>
      <c r="BC230">
        <v>4.1929998397827104</v>
      </c>
      <c r="BD230">
        <v>4.1929998397827104</v>
      </c>
      <c r="BE230">
        <v>0</v>
      </c>
      <c r="BF230">
        <v>0.5</v>
      </c>
      <c r="BG230">
        <v>-3.56472021626286E-3</v>
      </c>
      <c r="BH230">
        <v>9.9777661517568596E-3</v>
      </c>
      <c r="BI230">
        <v>4.2011000156402503</v>
      </c>
      <c r="BJ230">
        <f t="shared" si="3"/>
        <v>8.5156591512039904E-4</v>
      </c>
    </row>
    <row r="231" spans="1:62">
      <c r="A231" s="2">
        <v>44922</v>
      </c>
      <c r="B231">
        <v>131.38000488281199</v>
      </c>
      <c r="C231">
        <v>131.41000366210901</v>
      </c>
      <c r="D231">
        <v>128.72000122070301</v>
      </c>
      <c r="E231">
        <v>130.02999877929599</v>
      </c>
      <c r="F231">
        <v>129.14245605468699</v>
      </c>
      <c r="G231">
        <v>69007800</v>
      </c>
      <c r="H231">
        <v>0.1</v>
      </c>
      <c r="I231">
        <v>-1.3878369654057299E-2</v>
      </c>
      <c r="J231">
        <v>2.0437540775125398E-2</v>
      </c>
      <c r="K231">
        <v>135.39299926757801</v>
      </c>
      <c r="L231">
        <v>88.800003051757798</v>
      </c>
      <c r="M231">
        <v>88.940002441406193</v>
      </c>
      <c r="N231">
        <v>87.010002136230398</v>
      </c>
      <c r="O231">
        <v>87.389999389648395</v>
      </c>
      <c r="P231">
        <v>87.389999389648395</v>
      </c>
      <c r="Q231">
        <v>20097300</v>
      </c>
      <c r="R231">
        <v>0.1</v>
      </c>
      <c r="S231">
        <v>-2.0620911106826501E-2</v>
      </c>
      <c r="T231">
        <v>2.1924034207520701E-2</v>
      </c>
      <c r="U231">
        <v>90.324000549316395</v>
      </c>
      <c r="V231">
        <v>238.69999694824199</v>
      </c>
      <c r="W231">
        <v>238.92999267578099</v>
      </c>
      <c r="X231">
        <v>235.83000183105401</v>
      </c>
      <c r="Y231">
        <v>236.96000671386699</v>
      </c>
      <c r="Z231">
        <v>234.44381713867099</v>
      </c>
      <c r="AA231">
        <v>16688600</v>
      </c>
      <c r="AB231">
        <v>0.1</v>
      </c>
      <c r="AC231">
        <v>-7.4141877658807599E-3</v>
      </c>
      <c r="AD231">
        <v>2.1081150864321399E-2</v>
      </c>
      <c r="AE231">
        <v>244.84000091552701</v>
      </c>
      <c r="AF231">
        <v>178.11000061035099</v>
      </c>
      <c r="AG231">
        <v>178.350006103515</v>
      </c>
      <c r="AH231">
        <v>176.99000549316401</v>
      </c>
      <c r="AI231">
        <v>177.42999267578099</v>
      </c>
      <c r="AJ231">
        <v>170.90676879882801</v>
      </c>
      <c r="AK231">
        <v>3067300</v>
      </c>
      <c r="AL231">
        <v>0.1</v>
      </c>
      <c r="AM231">
        <v>-2.81739085877474E-4</v>
      </c>
      <c r="AN231">
        <v>7.7581374530368103E-3</v>
      </c>
      <c r="AO231">
        <v>177.289997863769</v>
      </c>
      <c r="AP231">
        <v>63.930000305175703</v>
      </c>
      <c r="AQ231">
        <v>64.290000915527301</v>
      </c>
      <c r="AR231">
        <v>63.709999084472599</v>
      </c>
      <c r="AS231">
        <v>64.209999084472599</v>
      </c>
      <c r="AT231">
        <v>61.752239227294901</v>
      </c>
      <c r="AU231">
        <v>7320700</v>
      </c>
      <c r="AV231">
        <v>0.1</v>
      </c>
      <c r="AW231">
        <v>6.1109274759221198E-3</v>
      </c>
      <c r="AX231">
        <v>8.9297633870291E-3</v>
      </c>
      <c r="AY231">
        <v>63.464000320434501</v>
      </c>
      <c r="AZ231">
        <v>4.1979999542236301</v>
      </c>
      <c r="BA231">
        <v>4.22300004959106</v>
      </c>
      <c r="BB231">
        <v>4.1529998779296804</v>
      </c>
      <c r="BC231">
        <v>4.1950001716613698</v>
      </c>
      <c r="BD231">
        <v>4.1950001716613698</v>
      </c>
      <c r="BE231">
        <v>0</v>
      </c>
      <c r="BF231">
        <v>0.5</v>
      </c>
      <c r="BG231">
        <v>4.7706462081942199E-4</v>
      </c>
      <c r="BH231">
        <v>9.9703975743842196E-3</v>
      </c>
      <c r="BI231">
        <v>4.2038000106811504</v>
      </c>
      <c r="BJ231">
        <f t="shared" si="3"/>
        <v>-3.3698957032622808E-3</v>
      </c>
    </row>
    <row r="232" spans="1:62">
      <c r="A232" s="2">
        <v>44923</v>
      </c>
      <c r="B232">
        <v>129.669998168945</v>
      </c>
      <c r="C232">
        <v>131.02999877929599</v>
      </c>
      <c r="D232">
        <v>125.870002746582</v>
      </c>
      <c r="E232">
        <v>126.040000915527</v>
      </c>
      <c r="F232">
        <v>125.17967224121</v>
      </c>
      <c r="G232">
        <v>85438400</v>
      </c>
      <c r="H232">
        <v>0.1</v>
      </c>
      <c r="I232">
        <v>-3.0685210345513001E-2</v>
      </c>
      <c r="J232">
        <v>2.0940021134741599E-2</v>
      </c>
      <c r="K232">
        <v>133.44999923706001</v>
      </c>
      <c r="L232">
        <v>86.980003356933594</v>
      </c>
      <c r="M232">
        <v>88.040000915527301</v>
      </c>
      <c r="N232">
        <v>85.940002441406193</v>
      </c>
      <c r="O232">
        <v>86.019996643066406</v>
      </c>
      <c r="P232">
        <v>86.019996643066406</v>
      </c>
      <c r="Q232">
        <v>19523200</v>
      </c>
      <c r="R232">
        <v>0.1</v>
      </c>
      <c r="S232">
        <v>-1.5676882436782599E-2</v>
      </c>
      <c r="T232">
        <v>2.20473144333889E-2</v>
      </c>
      <c r="U232">
        <v>89.363000488281202</v>
      </c>
      <c r="V232">
        <v>236.88999938964801</v>
      </c>
      <c r="W232">
        <v>239.72000122070301</v>
      </c>
      <c r="X232">
        <v>234.169998168945</v>
      </c>
      <c r="Y232">
        <v>234.52999877929599</v>
      </c>
      <c r="Z232">
        <v>232.039627075195</v>
      </c>
      <c r="AA232">
        <v>17457100</v>
      </c>
      <c r="AB232">
        <v>0.1</v>
      </c>
      <c r="AC232">
        <v>-1.02549285352805E-2</v>
      </c>
      <c r="AD232">
        <v>2.1158828791228299E-2</v>
      </c>
      <c r="AE232">
        <v>242.60099945068299</v>
      </c>
      <c r="AF232">
        <v>177.759994506835</v>
      </c>
      <c r="AG232">
        <v>178.44999694824199</v>
      </c>
      <c r="AH232">
        <v>176.64999389648401</v>
      </c>
      <c r="AI232">
        <v>176.66000366210901</v>
      </c>
      <c r="AJ232">
        <v>170.16510009765599</v>
      </c>
      <c r="AK232">
        <v>2645400</v>
      </c>
      <c r="AL232">
        <v>0.1</v>
      </c>
      <c r="AM232">
        <v>-4.3396778755375696E-3</v>
      </c>
      <c r="AN232">
        <v>7.6532332864932898E-3</v>
      </c>
      <c r="AO232">
        <v>177.03499755859301</v>
      </c>
      <c r="AP232">
        <v>64.459999084472599</v>
      </c>
      <c r="AQ232">
        <v>64.650001525878906</v>
      </c>
      <c r="AR232">
        <v>63.490001678466797</v>
      </c>
      <c r="AS232">
        <v>63.569999694824197</v>
      </c>
      <c r="AT232">
        <v>61.136734008788999</v>
      </c>
      <c r="AU232">
        <v>7159400</v>
      </c>
      <c r="AV232">
        <v>0.1</v>
      </c>
      <c r="AW232">
        <v>-9.96728545045566E-3</v>
      </c>
      <c r="AX232">
        <v>9.2220831236449908E-3</v>
      </c>
      <c r="AY232">
        <v>63.422000122070301</v>
      </c>
      <c r="AZ232">
        <v>4.3379998207092196</v>
      </c>
      <c r="BA232">
        <v>4.3429999351501403</v>
      </c>
      <c r="BB232">
        <v>4.3280000686645499</v>
      </c>
      <c r="BC232">
        <v>4.3379998207092196</v>
      </c>
      <c r="BD232">
        <v>4.3379998207092196</v>
      </c>
      <c r="BE232">
        <v>0</v>
      </c>
      <c r="BF232">
        <v>0.5</v>
      </c>
      <c r="BG232">
        <v>3.4088115183847197E-2</v>
      </c>
      <c r="BH232">
        <v>1.20286229853971E-2</v>
      </c>
      <c r="BI232">
        <v>4.2127999782562204</v>
      </c>
      <c r="BJ232">
        <f t="shared" si="3"/>
        <v>9.9516591275666637E-3</v>
      </c>
    </row>
    <row r="233" spans="1:62">
      <c r="A233" s="2">
        <v>44924</v>
      </c>
      <c r="B233">
        <v>127.98999786376901</v>
      </c>
      <c r="C233">
        <v>130.47999572753901</v>
      </c>
      <c r="D233">
        <v>127.730003356933</v>
      </c>
      <c r="E233">
        <v>129.61000061035099</v>
      </c>
      <c r="F233">
        <v>128.72531127929599</v>
      </c>
      <c r="G233">
        <v>75703700</v>
      </c>
      <c r="H233">
        <v>0.1</v>
      </c>
      <c r="I233">
        <v>2.8324338851892301E-2</v>
      </c>
      <c r="J233">
        <v>1.8539938238751399E-2</v>
      </c>
      <c r="K233">
        <v>132.08999862670899</v>
      </c>
      <c r="L233">
        <v>86.620002746582003</v>
      </c>
      <c r="M233">
        <v>88.849998474121094</v>
      </c>
      <c r="N233">
        <v>86.610000610351506</v>
      </c>
      <c r="O233">
        <v>88.449996948242102</v>
      </c>
      <c r="P233">
        <v>88.449996948242102</v>
      </c>
      <c r="Q233">
        <v>23333500</v>
      </c>
      <c r="R233">
        <v>0.1</v>
      </c>
      <c r="S233">
        <v>2.8249249011934801E-2</v>
      </c>
      <c r="T233">
        <v>1.7699792858577201E-2</v>
      </c>
      <c r="U233">
        <v>88.701000213623004</v>
      </c>
      <c r="V233">
        <v>235.64999389648401</v>
      </c>
      <c r="W233">
        <v>241.919998168945</v>
      </c>
      <c r="X233">
        <v>235.64999389648401</v>
      </c>
      <c r="Y233">
        <v>241.009994506835</v>
      </c>
      <c r="Z233">
        <v>238.45082092285099</v>
      </c>
      <c r="AA233">
        <v>19770700</v>
      </c>
      <c r="AB233">
        <v>0.1</v>
      </c>
      <c r="AC233">
        <v>2.76297094668773E-2</v>
      </c>
      <c r="AD233">
        <v>1.67734526689544E-2</v>
      </c>
      <c r="AE233">
        <v>240.97999877929601</v>
      </c>
      <c r="AF233">
        <v>177.55000305175699</v>
      </c>
      <c r="AG233">
        <v>178.30000305175699</v>
      </c>
      <c r="AH233">
        <v>177.07000732421801</v>
      </c>
      <c r="AI233">
        <v>177.55999755859301</v>
      </c>
      <c r="AJ233">
        <v>171.03202819824199</v>
      </c>
      <c r="AK233">
        <v>2828800</v>
      </c>
      <c r="AL233">
        <v>0.1</v>
      </c>
      <c r="AM233">
        <v>5.0944972140143296E-3</v>
      </c>
      <c r="AN233">
        <v>7.3330357223485697E-3</v>
      </c>
      <c r="AO233">
        <v>176.81499786376901</v>
      </c>
      <c r="AP233">
        <v>63.799999237060497</v>
      </c>
      <c r="AQ233">
        <v>64.150001525878906</v>
      </c>
      <c r="AR233">
        <v>63.700000762939403</v>
      </c>
      <c r="AS233">
        <v>63.950000762939403</v>
      </c>
      <c r="AT233">
        <v>61.502193450927699</v>
      </c>
      <c r="AU233">
        <v>7169300</v>
      </c>
      <c r="AV233">
        <v>0.1</v>
      </c>
      <c r="AW233">
        <v>5.9776792502670402E-3</v>
      </c>
      <c r="AX233">
        <v>8.3952448973986498E-3</v>
      </c>
      <c r="AY233">
        <v>63.418000030517497</v>
      </c>
      <c r="AZ233">
        <v>4.3330001831054599</v>
      </c>
      <c r="BA233">
        <v>4.3330001831054599</v>
      </c>
      <c r="BB233">
        <v>4.29500007629394</v>
      </c>
      <c r="BC233">
        <v>4.29500007629394</v>
      </c>
      <c r="BD233">
        <v>4.29500007629394</v>
      </c>
      <c r="BE233">
        <v>0</v>
      </c>
      <c r="BF233">
        <v>0.5</v>
      </c>
      <c r="BG233">
        <v>-9.9123435206258607E-3</v>
      </c>
      <c r="BH233">
        <v>1.22761716982994E-2</v>
      </c>
      <c r="BI233">
        <v>4.2203000068664496</v>
      </c>
      <c r="BJ233">
        <f t="shared" si="3"/>
        <v>4.571375619185648E-3</v>
      </c>
    </row>
    <row r="234" spans="1:62">
      <c r="A234" s="2">
        <v>44925</v>
      </c>
      <c r="B234">
        <v>128.41000366210901</v>
      </c>
      <c r="C234">
        <v>129.94999694824199</v>
      </c>
      <c r="D234">
        <v>127.430000305175</v>
      </c>
      <c r="E234">
        <v>129.92999267578099</v>
      </c>
      <c r="F234">
        <v>129.04312133789</v>
      </c>
      <c r="G234">
        <v>77034200</v>
      </c>
      <c r="H234">
        <v>0.1</v>
      </c>
      <c r="I234">
        <v>2.46888406699175E-3</v>
      </c>
      <c r="J234">
        <v>1.8554067587506499E-2</v>
      </c>
      <c r="K234">
        <v>131.43299789428701</v>
      </c>
      <c r="L234">
        <v>86.980003356933594</v>
      </c>
      <c r="M234">
        <v>88.300003051757798</v>
      </c>
      <c r="N234">
        <v>86.569999694824205</v>
      </c>
      <c r="O234">
        <v>88.230003356933594</v>
      </c>
      <c r="P234">
        <v>88.230003356933594</v>
      </c>
      <c r="Q234">
        <v>23986300</v>
      </c>
      <c r="R234">
        <v>0.1</v>
      </c>
      <c r="S234">
        <v>-2.4872085799768598E-3</v>
      </c>
      <c r="T234">
        <v>1.7660726565925901E-2</v>
      </c>
      <c r="U234">
        <v>88.438000488281205</v>
      </c>
      <c r="V234">
        <v>238.21000671386699</v>
      </c>
      <c r="W234">
        <v>239.96000671386699</v>
      </c>
      <c r="X234">
        <v>236.66000366210901</v>
      </c>
      <c r="Y234">
        <v>239.82000732421801</v>
      </c>
      <c r="Z234">
        <v>237.27346801757801</v>
      </c>
      <c r="AA234">
        <v>21938500</v>
      </c>
      <c r="AB234">
        <v>0.1</v>
      </c>
      <c r="AC234">
        <v>-4.93750138890369E-3</v>
      </c>
      <c r="AD234">
        <v>1.6779031634667801E-2</v>
      </c>
      <c r="AE234">
        <v>240.061000061035</v>
      </c>
      <c r="AF234">
        <v>177.49000549316401</v>
      </c>
      <c r="AG234">
        <v>177.77000427246</v>
      </c>
      <c r="AH234">
        <v>175.39999389648401</v>
      </c>
      <c r="AI234">
        <v>176.64999389648401</v>
      </c>
      <c r="AJ234">
        <v>170.15545654296801</v>
      </c>
      <c r="AK234">
        <v>4216600</v>
      </c>
      <c r="AL234">
        <v>0.1</v>
      </c>
      <c r="AM234">
        <v>-5.1250488545939703E-3</v>
      </c>
      <c r="AN234">
        <v>7.3432650070987702E-3</v>
      </c>
      <c r="AO234">
        <v>176.73099670410099</v>
      </c>
      <c r="AP234">
        <v>63.919998168945298</v>
      </c>
      <c r="AQ234">
        <v>63.919998168945298</v>
      </c>
      <c r="AR234">
        <v>63.169998168945298</v>
      </c>
      <c r="AS234">
        <v>63.610000610351499</v>
      </c>
      <c r="AT234">
        <v>61.175205230712798</v>
      </c>
      <c r="AU234">
        <v>7650200</v>
      </c>
      <c r="AV234">
        <v>0.1</v>
      </c>
      <c r="AW234">
        <v>-5.31665595827368E-3</v>
      </c>
      <c r="AX234">
        <v>8.4633968627705908E-3</v>
      </c>
      <c r="AY234">
        <v>63.468000030517501</v>
      </c>
      <c r="AZ234">
        <v>4.2979998588562003</v>
      </c>
      <c r="BA234">
        <v>4.3000001907348597</v>
      </c>
      <c r="BB234">
        <v>4.22300004959106</v>
      </c>
      <c r="BC234">
        <v>4.2600002288818297</v>
      </c>
      <c r="BD234">
        <v>4.2600002288818297</v>
      </c>
      <c r="BE234">
        <v>0</v>
      </c>
      <c r="BF234">
        <v>0.5</v>
      </c>
      <c r="BG234">
        <v>-8.14897480567911E-3</v>
      </c>
      <c r="BH234">
        <v>1.1969886763216199E-2</v>
      </c>
      <c r="BI234">
        <v>4.22500004768371</v>
      </c>
      <c r="BJ234">
        <f t="shared" si="3"/>
        <v>-5.6142404743152003E-3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E6F9-168C-4AC2-9A74-A384D4FBF315}">
  <sheetPr codeName="Sheet9"/>
  <dimension ref="A1:G2"/>
  <sheetViews>
    <sheetView workbookViewId="0">
      <selection activeCell="G3" sqref="G3"/>
    </sheetView>
  </sheetViews>
  <sheetFormatPr defaultRowHeight="15"/>
  <cols>
    <col min="1" max="1" width="10.42578125" bestFit="1" customWidth="1"/>
    <col min="2" max="2" width="12.140625" bestFit="1" customWidth="1"/>
    <col min="3" max="3" width="14.85546875" bestFit="1" customWidth="1"/>
    <col min="4" max="4" width="15.140625" bestFit="1" customWidth="1"/>
    <col min="5" max="5" width="11" bestFit="1" customWidth="1"/>
    <col min="6" max="6" width="13.7109375" bestFit="1" customWidth="1"/>
    <col min="7" max="7" width="11.85546875" bestFit="1" customWidth="1"/>
  </cols>
  <sheetData>
    <row r="1" spans="1:7">
      <c r="A1" s="28" t="s">
        <v>0</v>
      </c>
      <c r="B1" s="28" t="s">
        <v>176</v>
      </c>
      <c r="C1" s="28" t="s">
        <v>177</v>
      </c>
      <c r="D1" s="28" t="s">
        <v>178</v>
      </c>
      <c r="E1" s="28" t="s">
        <v>74</v>
      </c>
      <c r="F1" s="28" t="s">
        <v>179</v>
      </c>
      <c r="G1" s="28" t="s">
        <v>180</v>
      </c>
    </row>
    <row r="2" spans="1:7">
      <c r="A2" s="2">
        <f>[1]SUMMARY!B1</f>
        <v>45289</v>
      </c>
      <c r="B2">
        <f>'INTERPOLATED RATE'!F2</f>
        <v>5.4064399999999999</v>
      </c>
      <c r="E2">
        <f>SUMIF(Table2[As of Date],'Funding Cost'!A2,Table2[Nominal])</f>
        <v>1200000000</v>
      </c>
      <c r="F2">
        <f>E2*B2/100/360</f>
        <v>180214.66666666666</v>
      </c>
      <c r="G2">
        <f>'Trading Book'!BN4*'Funding Cost'!B2/100/360</f>
        <v>1501.7888888888888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BLOOMBERG RATE</vt:lpstr>
      <vt:lpstr>REVERSE REPO</vt:lpstr>
      <vt:lpstr>Sheet4</vt:lpstr>
      <vt:lpstr>Holiday</vt:lpstr>
      <vt:lpstr>INTERPOLATED RATE</vt:lpstr>
      <vt:lpstr>INTERPOLATED RATE(2)</vt:lpstr>
      <vt:lpstr>SUMMARY</vt:lpstr>
      <vt:lpstr>Trading Book</vt:lpstr>
      <vt:lpstr>Funding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14253</dc:creator>
  <cp:lastModifiedBy>Leifei Liu</cp:lastModifiedBy>
  <dcterms:created xsi:type="dcterms:W3CDTF">2015-06-05T18:17:20Z</dcterms:created>
  <dcterms:modified xsi:type="dcterms:W3CDTF">2024-04-04T00:57:33Z</dcterms:modified>
</cp:coreProperties>
</file>